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vs Actu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;(&quot;€&quot;#,##0);&quot;-&quot;"/>
    <numFmt numFmtId="165" formatCode="0.0%;(0.0%);&quot;-&quot;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4B2D8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2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22" customWidth="1" min="11" max="11"/>
    <col width="38" customWidth="1" min="12" max="12"/>
  </cols>
  <sheetData>
    <row r="1" ht="24" customHeight="1">
      <c r="A1" s="1" t="inlineStr">
        <is>
          <t>Cost Centre</t>
        </is>
      </c>
      <c r="B1" s="1" t="inlineStr">
        <is>
          <t>Department</t>
        </is>
      </c>
      <c r="C1" s="1" t="inlineStr">
        <is>
          <t>Category</t>
        </is>
      </c>
      <c r="D1" s="1" t="inlineStr">
        <is>
          <t>Owner</t>
        </is>
      </c>
      <c r="E1" s="1" t="inlineStr">
        <is>
          <t>Quarter</t>
        </is>
      </c>
      <c r="F1" s="1" t="inlineStr">
        <is>
          <t>Budget (EUR)</t>
        </is>
      </c>
      <c r="G1" s="1" t="inlineStr">
        <is>
          <t>Actual (EUR)</t>
        </is>
      </c>
      <c r="H1" s="1" t="inlineStr">
        <is>
          <t>Variance (EUR)</t>
        </is>
      </c>
      <c r="I1" s="1" t="inlineStr">
        <is>
          <t>Variance (%)</t>
        </is>
      </c>
      <c r="J1" s="1" t="inlineStr">
        <is>
          <t>Status</t>
        </is>
      </c>
      <c r="K1" s="1" t="inlineStr">
        <is>
          <t>Forecast Year-End (EUR)</t>
        </is>
      </c>
      <c r="L1" s="1" t="inlineStr">
        <is>
          <t>Commentary</t>
        </is>
      </c>
    </row>
    <row r="2">
      <c r="A2" s="2" t="inlineStr">
        <is>
          <t>CC100</t>
        </is>
      </c>
      <c r="B2" s="2" t="inlineStr">
        <is>
          <t>HR</t>
        </is>
      </c>
      <c r="C2" s="2" t="inlineStr">
        <is>
          <t>People Programs</t>
        </is>
      </c>
      <c r="D2" s="2" t="inlineStr">
        <is>
          <t>Aoife Murphy</t>
        </is>
      </c>
      <c r="E2" s="2" t="inlineStr">
        <is>
          <t>Q2 FY26</t>
        </is>
      </c>
      <c r="F2" s="3" t="n">
        <v>150000</v>
      </c>
      <c r="G2" s="3" t="n">
        <v>155048</v>
      </c>
      <c r="H2" s="3">
        <f>G2-F2</f>
        <v/>
      </c>
      <c r="I2" s="4">
        <f>IF(F2=0,0,(G2-F2)/F2)</f>
        <v/>
      </c>
      <c r="J2" s="2">
        <f>IF(I2&gt;0.1,"Over Budget",IF(I2&lt;-0.1,"Under Budget","On Track"))</f>
        <v/>
      </c>
      <c r="K2" s="3" t="n">
        <v>612115</v>
      </c>
      <c r="L2" s="2" t="inlineStr">
        <is>
          <t>Tracking to plan</t>
        </is>
      </c>
    </row>
    <row r="3">
      <c r="A3" s="2" t="inlineStr">
        <is>
          <t>CC101</t>
        </is>
      </c>
      <c r="B3" s="2" t="inlineStr">
        <is>
          <t>HR</t>
        </is>
      </c>
      <c r="C3" s="2" t="inlineStr">
        <is>
          <t>Recruiting</t>
        </is>
      </c>
      <c r="D3" s="2" t="inlineStr">
        <is>
          <t>Liam O'Brien</t>
        </is>
      </c>
      <c r="E3" s="2" t="inlineStr">
        <is>
          <t>Q1 FY26</t>
        </is>
      </c>
      <c r="F3" s="3" t="n">
        <v>150000</v>
      </c>
      <c r="G3" s="3" t="n">
        <v>125731</v>
      </c>
      <c r="H3" s="3">
        <f>G3-F3</f>
        <v/>
      </c>
      <c r="I3" s="4">
        <f>IF(F3=0,0,(G3-F3)/F3)</f>
        <v/>
      </c>
      <c r="J3" s="2">
        <f>IF(I3&gt;0.1,"Over Budget",IF(I3&lt;-0.1,"Under Budget","On Track"))</f>
        <v/>
      </c>
      <c r="K3" s="3" t="n">
        <v>541754</v>
      </c>
      <c r="L3" s="2" t="inlineStr">
        <is>
          <t>Reduced agency use this quarter</t>
        </is>
      </c>
    </row>
    <row r="4">
      <c r="A4" s="2" t="inlineStr">
        <is>
          <t>CC101</t>
        </is>
      </c>
      <c r="B4" s="2" t="inlineStr">
        <is>
          <t>HR</t>
        </is>
      </c>
      <c r="C4" s="2" t="inlineStr">
        <is>
          <t>Recruiting</t>
        </is>
      </c>
      <c r="D4" s="2" t="inlineStr">
        <is>
          <t>Liam O'Brien</t>
        </is>
      </c>
      <c r="E4" s="2" t="inlineStr">
        <is>
          <t>Q2 FY26</t>
        </is>
      </c>
      <c r="F4" s="3" t="n">
        <v>150000</v>
      </c>
      <c r="G4" s="3" t="n">
        <v>126272</v>
      </c>
      <c r="H4" s="3">
        <f>G4-F4</f>
        <v/>
      </c>
      <c r="I4" s="4">
        <f>IF(F4=0,0,(G4-F4)/F4)</f>
        <v/>
      </c>
      <c r="J4" s="2">
        <f>IF(I4&gt;0.1,"Over Budget",IF(I4&lt;-0.1,"Under Budget","On Track"))</f>
        <v/>
      </c>
      <c r="K4" s="3" t="n">
        <v>543052</v>
      </c>
      <c r="L4" s="2" t="inlineStr">
        <is>
          <t>Reduced agency use this quarter</t>
        </is>
      </c>
    </row>
    <row r="5">
      <c r="A5" s="2" t="inlineStr">
        <is>
          <t>CC110</t>
        </is>
      </c>
      <c r="B5" s="2" t="inlineStr">
        <is>
          <t>HR</t>
        </is>
      </c>
      <c r="C5" s="2" t="inlineStr">
        <is>
          <t>Learning &amp; Development</t>
        </is>
      </c>
      <c r="D5" s="2" t="inlineStr">
        <is>
          <t>Niamh Kelly</t>
        </is>
      </c>
      <c r="E5" s="2" t="inlineStr">
        <is>
          <t>Q1 FY26</t>
        </is>
      </c>
      <c r="F5" s="3" t="n">
        <v>150000</v>
      </c>
      <c r="G5" s="3" t="n">
        <v>164845</v>
      </c>
      <c r="H5" s="3">
        <f>G5-F5</f>
        <v/>
      </c>
      <c r="I5" s="4">
        <f>IF(F5=0,0,(G5-F5)/F5)</f>
        <v/>
      </c>
      <c r="J5" s="2">
        <f>IF(I5&gt;0.1,"Over Budget",IF(I5&lt;-0.1,"Under Budget","On Track"))</f>
        <v/>
      </c>
      <c r="K5" s="3" t="n">
        <v>635628</v>
      </c>
      <c r="L5" s="2" t="inlineStr">
        <is>
          <t>Tracking to plan</t>
        </is>
      </c>
    </row>
    <row r="6">
      <c r="A6" s="2" t="inlineStr">
        <is>
          <t>CC110</t>
        </is>
      </c>
      <c r="B6" s="2" t="inlineStr">
        <is>
          <t>HR</t>
        </is>
      </c>
      <c r="C6" s="2" t="inlineStr">
        <is>
          <t>Learning &amp; Development</t>
        </is>
      </c>
      <c r="D6" s="2" t="inlineStr">
        <is>
          <t>Niamh Kelly</t>
        </is>
      </c>
      <c r="E6" s="2" t="inlineStr">
        <is>
          <t>Q2 FY26</t>
        </is>
      </c>
      <c r="F6" s="3" t="n">
        <v>150000</v>
      </c>
      <c r="G6" s="3" t="n">
        <v>130577</v>
      </c>
      <c r="H6" s="3">
        <f>G6-F6</f>
        <v/>
      </c>
      <c r="I6" s="4">
        <f>IF(F6=0,0,(G6-F6)/F6)</f>
        <v/>
      </c>
      <c r="J6" s="2">
        <f>IF(I6&gt;0.1,"Over Budget",IF(I6&lt;-0.1,"Under Budget","On Track"))</f>
        <v/>
      </c>
      <c r="K6" s="3" t="n">
        <v>553384</v>
      </c>
      <c r="L6" s="2" t="inlineStr">
        <is>
          <t>Tracking to plan</t>
        </is>
      </c>
    </row>
    <row r="7">
      <c r="A7" s="2" t="inlineStr">
        <is>
          <t>CC200</t>
        </is>
      </c>
      <c r="B7" s="2" t="inlineStr">
        <is>
          <t>Engineering</t>
        </is>
      </c>
      <c r="C7" s="2" t="inlineStr">
        <is>
          <t>Cloud Infrastructure</t>
        </is>
      </c>
      <c r="D7" s="2" t="inlineStr">
        <is>
          <t>Cillian Doyle</t>
        </is>
      </c>
      <c r="E7" s="2" t="inlineStr">
        <is>
          <t>Q1 FY26</t>
        </is>
      </c>
      <c r="F7" s="3" t="n">
        <v>500000</v>
      </c>
      <c r="G7" s="3" t="n">
        <v>430518</v>
      </c>
      <c r="H7" s="3">
        <f>G7-F7</f>
        <v/>
      </c>
      <c r="I7" s="4">
        <f>IF(F7=0,0,(G7-F7)/F7)</f>
        <v/>
      </c>
      <c r="J7" s="2">
        <f>IF(I7&gt;0.1,"Over Budget",IF(I7&lt;-0.1,"Under Budget","On Track"))</f>
        <v/>
      </c>
      <c r="K7" s="3" t="n">
        <v>1833242</v>
      </c>
      <c r="L7" s="2" t="inlineStr">
        <is>
          <t>Reserved instance savings from migration</t>
        </is>
      </c>
    </row>
    <row r="8">
      <c r="A8" s="2" t="inlineStr">
        <is>
          <t>CC200</t>
        </is>
      </c>
      <c r="B8" s="2" t="inlineStr">
        <is>
          <t>Engineering</t>
        </is>
      </c>
      <c r="C8" s="2" t="inlineStr">
        <is>
          <t>Cloud Infrastructure</t>
        </is>
      </c>
      <c r="D8" s="2" t="inlineStr">
        <is>
          <t>Cillian Doyle</t>
        </is>
      </c>
      <c r="E8" s="2" t="inlineStr">
        <is>
          <t>Q2 FY26</t>
        </is>
      </c>
      <c r="F8" s="3" t="n">
        <v>500000</v>
      </c>
      <c r="G8" s="3" t="n">
        <v>412453</v>
      </c>
      <c r="H8" s="3">
        <f>G8-F8</f>
        <v/>
      </c>
      <c r="I8" s="4">
        <f>IF(F8=0,0,(G8-F8)/F8)</f>
        <v/>
      </c>
      <c r="J8" s="2">
        <f>IF(I8&gt;0.1,"Over Budget",IF(I8&lt;-0.1,"Under Budget","On Track"))</f>
        <v/>
      </c>
      <c r="K8" s="3" t="n">
        <v>1789887</v>
      </c>
      <c r="L8" s="2" t="inlineStr">
        <is>
          <t>Reserved instance savings from migration</t>
        </is>
      </c>
    </row>
    <row r="9">
      <c r="A9" s="2" t="inlineStr">
        <is>
          <t>CC201</t>
        </is>
      </c>
      <c r="B9" s="2" t="inlineStr">
        <is>
          <t>Engineering</t>
        </is>
      </c>
      <c r="C9" s="2" t="inlineStr">
        <is>
          <t>Tooling &amp; Licences</t>
        </is>
      </c>
      <c r="D9" s="2" t="inlineStr">
        <is>
          <t>Cillian Doyle</t>
        </is>
      </c>
      <c r="E9" s="2" t="inlineStr">
        <is>
          <t>Q1 FY26</t>
        </is>
      </c>
      <c r="F9" s="3" t="n">
        <v>150000</v>
      </c>
      <c r="G9" s="3" t="n">
        <v>151164</v>
      </c>
      <c r="H9" s="3">
        <f>G9-F9</f>
        <v/>
      </c>
      <c r="I9" s="4">
        <f>IF(F9=0,0,(G9-F9)/F9)</f>
        <v/>
      </c>
      <c r="J9" s="2">
        <f>IF(I9&gt;0.1,"Over Budget",IF(I9&lt;-0.1,"Under Budget","On Track"))</f>
        <v/>
      </c>
      <c r="K9" s="3" t="n">
        <v>602793</v>
      </c>
      <c r="L9" s="2" t="inlineStr">
        <is>
          <t>Tracking to plan</t>
        </is>
      </c>
    </row>
    <row r="10">
      <c r="A10" s="2" t="inlineStr">
        <is>
          <t>CC201</t>
        </is>
      </c>
      <c r="B10" s="2" t="inlineStr">
        <is>
          <t>Engineering</t>
        </is>
      </c>
      <c r="C10" s="2" t="inlineStr">
        <is>
          <t>Tooling &amp; Licences</t>
        </is>
      </c>
      <c r="D10" s="2" t="inlineStr">
        <is>
          <t>Cillian Doyle</t>
        </is>
      </c>
      <c r="E10" s="2" t="inlineStr">
        <is>
          <t>Q2 FY26</t>
        </is>
      </c>
      <c r="F10" s="3" t="n">
        <v>150000</v>
      </c>
      <c r="G10" s="3" t="n">
        <v>149428</v>
      </c>
      <c r="H10" s="3">
        <f>G10-F10</f>
        <v/>
      </c>
      <c r="I10" s="4">
        <f>IF(F10=0,0,(G10-F10)/F10)</f>
        <v/>
      </c>
      <c r="J10" s="2">
        <f>IF(I10&gt;0.1,"Over Budget",IF(I10&lt;-0.1,"Under Budget","On Track"))</f>
        <v/>
      </c>
      <c r="K10" s="3" t="n">
        <v>598628</v>
      </c>
      <c r="L10" s="2" t="inlineStr">
        <is>
          <t>Tracking to plan</t>
        </is>
      </c>
    </row>
    <row r="11">
      <c r="A11" s="2" t="inlineStr">
        <is>
          <t>CC202</t>
        </is>
      </c>
      <c r="B11" s="2" t="inlineStr">
        <is>
          <t>Engineering</t>
        </is>
      </c>
      <c r="C11" s="2" t="inlineStr">
        <is>
          <t>Contractors</t>
        </is>
      </c>
      <c r="D11" s="2" t="inlineStr">
        <is>
          <t>Cillian Doyle</t>
        </is>
      </c>
      <c r="E11" s="2" t="inlineStr">
        <is>
          <t>Q1 FY26</t>
        </is>
      </c>
      <c r="F11" s="3" t="n">
        <v>75000</v>
      </c>
      <c r="G11" s="3" t="n">
        <v>90465</v>
      </c>
      <c r="H11" s="3">
        <f>G11-F11</f>
        <v/>
      </c>
      <c r="I11" s="4">
        <f>IF(F11=0,0,(G11-F11)/F11)</f>
        <v/>
      </c>
      <c r="J11" s="2">
        <f>IF(I11&gt;0.1,"Over Budget",IF(I11&lt;-0.1,"Under Budget","On Track"))</f>
        <v/>
      </c>
      <c r="K11" s="3" t="n">
        <v>337116</v>
      </c>
      <c r="L11" s="2" t="inlineStr">
        <is>
          <t>Tracking to plan</t>
        </is>
      </c>
    </row>
    <row r="12">
      <c r="A12" s="2" t="inlineStr">
        <is>
          <t>CC202</t>
        </is>
      </c>
      <c r="B12" s="2" t="inlineStr">
        <is>
          <t>Engineering</t>
        </is>
      </c>
      <c r="C12" s="2" t="inlineStr">
        <is>
          <t>Contractors</t>
        </is>
      </c>
      <c r="D12" s="2" t="inlineStr">
        <is>
          <t>Cillian Doyle</t>
        </is>
      </c>
      <c r="E12" s="2" t="inlineStr">
        <is>
          <t>Q2 FY26</t>
        </is>
      </c>
      <c r="F12" s="3" t="n">
        <v>75000</v>
      </c>
      <c r="G12" s="3" t="n">
        <v>69074</v>
      </c>
      <c r="H12" s="3">
        <f>G12-F12</f>
        <v/>
      </c>
      <c r="I12" s="4">
        <f>IF(F12=0,0,(G12-F12)/F12)</f>
        <v/>
      </c>
      <c r="J12" s="2">
        <f>IF(I12&gt;0.1,"Over Budget",IF(I12&lt;-0.1,"Under Budget","On Track"))</f>
        <v/>
      </c>
      <c r="K12" s="3" t="n">
        <v>285778</v>
      </c>
      <c r="L12" s="2" t="inlineStr">
        <is>
          <t>Tracking to plan</t>
        </is>
      </c>
    </row>
    <row r="13">
      <c r="A13" s="2" t="inlineStr">
        <is>
          <t>CC300</t>
        </is>
      </c>
      <c r="B13" s="2" t="inlineStr">
        <is>
          <t>Sales</t>
        </is>
      </c>
      <c r="C13" s="2" t="inlineStr">
        <is>
          <t>Travel &amp; Entertainment</t>
        </is>
      </c>
      <c r="D13" s="2" t="inlineStr">
        <is>
          <t>Padraig Lynch</t>
        </is>
      </c>
      <c r="E13" s="2" t="inlineStr">
        <is>
          <t>Q1 FY26</t>
        </is>
      </c>
      <c r="F13" s="3" t="n">
        <v>500000</v>
      </c>
      <c r="G13" s="3" t="n">
        <v>432817</v>
      </c>
      <c r="H13" s="3">
        <f>G13-F13</f>
        <v/>
      </c>
      <c r="I13" s="4">
        <f>IF(F13=0,0,(G13-F13)/F13)</f>
        <v/>
      </c>
      <c r="J13" s="2">
        <f>IF(I13&gt;0.1,"Over Budget",IF(I13&lt;-0.1,"Under Budget","On Track"))</f>
        <v/>
      </c>
      <c r="K13" s="3" t="n">
        <v>1838762</v>
      </c>
      <c r="L13" s="2" t="inlineStr">
        <is>
          <t>Customer visits trending above plan</t>
        </is>
      </c>
    </row>
    <row r="14">
      <c r="A14" s="2" t="inlineStr">
        <is>
          <t>CC300</t>
        </is>
      </c>
      <c r="B14" s="2" t="inlineStr">
        <is>
          <t>Sales</t>
        </is>
      </c>
      <c r="C14" s="2" t="inlineStr">
        <is>
          <t>Travel &amp; Entertainment</t>
        </is>
      </c>
      <c r="D14" s="2" t="inlineStr">
        <is>
          <t>Padraig Lynch</t>
        </is>
      </c>
      <c r="E14" s="2" t="inlineStr">
        <is>
          <t>Q2 FY26</t>
        </is>
      </c>
      <c r="F14" s="3" t="n">
        <v>500000</v>
      </c>
      <c r="G14" s="3" t="n">
        <v>423069</v>
      </c>
      <c r="H14" s="3">
        <f>G14-F14</f>
        <v/>
      </c>
      <c r="I14" s="4">
        <f>IF(F14=0,0,(G14-F14)/F14)</f>
        <v/>
      </c>
      <c r="J14" s="2">
        <f>IF(I14&gt;0.1,"Over Budget",IF(I14&lt;-0.1,"Under Budget","On Track"))</f>
        <v/>
      </c>
      <c r="K14" s="3" t="n">
        <v>1815365</v>
      </c>
      <c r="L14" s="2" t="inlineStr">
        <is>
          <t>Customer visits trending above plan</t>
        </is>
      </c>
    </row>
    <row r="15">
      <c r="A15" s="2" t="inlineStr">
        <is>
          <t>CC301</t>
        </is>
      </c>
      <c r="B15" s="2" t="inlineStr">
        <is>
          <t>Sales</t>
        </is>
      </c>
      <c r="C15" s="2" t="inlineStr">
        <is>
          <t>Sales Tools</t>
        </is>
      </c>
      <c r="D15" s="2" t="inlineStr">
        <is>
          <t>Padraig Lynch</t>
        </is>
      </c>
      <c r="E15" s="2" t="inlineStr">
        <is>
          <t>Q1 FY26</t>
        </is>
      </c>
      <c r="F15" s="3" t="n">
        <v>500000</v>
      </c>
      <c r="G15" s="3" t="n">
        <v>424816</v>
      </c>
      <c r="H15" s="3">
        <f>G15-F15</f>
        <v/>
      </c>
      <c r="I15" s="4">
        <f>IF(F15=0,0,(G15-F15)/F15)</f>
        <v/>
      </c>
      <c r="J15" s="2">
        <f>IF(I15&gt;0.1,"Over Budget",IF(I15&lt;-0.1,"Under Budget","On Track"))</f>
        <v/>
      </c>
      <c r="K15" s="3" t="n">
        <v>1819559</v>
      </c>
      <c r="L15" s="2" t="inlineStr">
        <is>
          <t>Tracking to plan</t>
        </is>
      </c>
    </row>
    <row r="16">
      <c r="A16" s="2" t="inlineStr">
        <is>
          <t>CC301</t>
        </is>
      </c>
      <c r="B16" s="2" t="inlineStr">
        <is>
          <t>Sales</t>
        </is>
      </c>
      <c r="C16" s="2" t="inlineStr">
        <is>
          <t>Sales Tools</t>
        </is>
      </c>
      <c r="D16" s="2" t="inlineStr">
        <is>
          <t>Padraig Lynch</t>
        </is>
      </c>
      <c r="E16" s="2" t="inlineStr">
        <is>
          <t>Q2 FY26</t>
        </is>
      </c>
      <c r="F16" s="3" t="n">
        <v>500000</v>
      </c>
      <c r="G16" s="3" t="n">
        <v>535889</v>
      </c>
      <c r="H16" s="3">
        <f>G16-F16</f>
        <v/>
      </c>
      <c r="I16" s="4">
        <f>IF(F16=0,0,(G16-F16)/F16)</f>
        <v/>
      </c>
      <c r="J16" s="2">
        <f>IF(I16&gt;0.1,"Over Budget",IF(I16&lt;-0.1,"Under Budget","On Track"))</f>
        <v/>
      </c>
      <c r="K16" s="3" t="n">
        <v>2086134</v>
      </c>
      <c r="L16" s="2" t="inlineStr">
        <is>
          <t>Tracking to plan</t>
        </is>
      </c>
    </row>
    <row r="17">
      <c r="A17" s="2" t="inlineStr">
        <is>
          <t>CC302</t>
        </is>
      </c>
      <c r="B17" s="2" t="inlineStr">
        <is>
          <t>Sales</t>
        </is>
      </c>
      <c r="C17" s="2" t="inlineStr">
        <is>
          <t>Events</t>
        </is>
      </c>
      <c r="D17" s="2" t="inlineStr">
        <is>
          <t>Padraig Lynch</t>
        </is>
      </c>
      <c r="E17" s="2" t="inlineStr">
        <is>
          <t>Q1 FY26</t>
        </is>
      </c>
      <c r="F17" s="3" t="n">
        <v>30000</v>
      </c>
      <c r="G17" s="3" t="n">
        <v>26421</v>
      </c>
      <c r="H17" s="3">
        <f>G17-F17</f>
        <v/>
      </c>
      <c r="I17" s="4">
        <f>IF(F17=0,0,(G17-F17)/F17)</f>
        <v/>
      </c>
      <c r="J17" s="2">
        <f>IF(I17&gt;0.1,"Over Budget",IF(I17&lt;-0.1,"Under Budget","On Track"))</f>
        <v/>
      </c>
      <c r="K17" s="3" t="n">
        <v>111410</v>
      </c>
      <c r="L17" s="2" t="inlineStr">
        <is>
          <t>Tracking to plan</t>
        </is>
      </c>
    </row>
    <row r="18">
      <c r="A18" s="2" t="inlineStr">
        <is>
          <t>CC302</t>
        </is>
      </c>
      <c r="B18" s="2" t="inlineStr">
        <is>
          <t>Sales</t>
        </is>
      </c>
      <c r="C18" s="2" t="inlineStr">
        <is>
          <t>Events</t>
        </is>
      </c>
      <c r="D18" s="2" t="inlineStr">
        <is>
          <t>Padraig Lynch</t>
        </is>
      </c>
      <c r="E18" s="2" t="inlineStr">
        <is>
          <t>Q2 FY26</t>
        </is>
      </c>
      <c r="F18" s="3" t="n">
        <v>30000</v>
      </c>
      <c r="G18" s="3" t="n">
        <v>34334</v>
      </c>
      <c r="H18" s="3">
        <f>G18-F18</f>
        <v/>
      </c>
      <c r="I18" s="4">
        <f>IF(F18=0,0,(G18-F18)/F18)</f>
        <v/>
      </c>
      <c r="J18" s="2">
        <f>IF(I18&gt;0.1,"Over Budget",IF(I18&lt;-0.1,"Under Budget","On Track"))</f>
        <v/>
      </c>
      <c r="K18" s="3" t="n">
        <v>130401</v>
      </c>
      <c r="L18" s="2" t="inlineStr">
        <is>
          <t>Tracking to plan</t>
        </is>
      </c>
    </row>
    <row r="19">
      <c r="A19" s="2" t="inlineStr">
        <is>
          <t>CC400</t>
        </is>
      </c>
      <c r="B19" s="2" t="inlineStr">
        <is>
          <t>Marketing</t>
        </is>
      </c>
      <c r="C19" s="2" t="inlineStr">
        <is>
          <t>Paid Media</t>
        </is>
      </c>
      <c r="D19" s="2" t="inlineStr">
        <is>
          <t>Maeve Sullivan</t>
        </is>
      </c>
      <c r="E19" s="2" t="inlineStr">
        <is>
          <t>Q1 FY26</t>
        </is>
      </c>
      <c r="F19" s="3" t="n">
        <v>150000</v>
      </c>
      <c r="G19" s="3" t="n">
        <v>128111</v>
      </c>
      <c r="H19" s="3">
        <f>G19-F19</f>
        <v/>
      </c>
      <c r="I19" s="4">
        <f>IF(F19=0,0,(G19-F19)/F19)</f>
        <v/>
      </c>
      <c r="J19" s="2">
        <f>IF(I19&gt;0.1,"Over Budget",IF(I19&lt;-0.1,"Under Budget","On Track"))</f>
        <v/>
      </c>
      <c r="K19" s="3" t="n">
        <v>547466</v>
      </c>
      <c r="L19" s="2" t="inlineStr">
        <is>
          <t>Pulled forward Q3 spend to support pipeline</t>
        </is>
      </c>
    </row>
    <row r="20">
      <c r="A20" s="2" t="inlineStr">
        <is>
          <t>CC400</t>
        </is>
      </c>
      <c r="B20" s="2" t="inlineStr">
        <is>
          <t>Marketing</t>
        </is>
      </c>
      <c r="C20" s="2" t="inlineStr">
        <is>
          <t>Paid Media</t>
        </is>
      </c>
      <c r="D20" s="2" t="inlineStr">
        <is>
          <t>Maeve Sullivan</t>
        </is>
      </c>
      <c r="E20" s="2" t="inlineStr">
        <is>
          <t>Q2 FY26</t>
        </is>
      </c>
      <c r="F20" s="3" t="n">
        <v>150000</v>
      </c>
      <c r="G20" s="3" t="n">
        <v>137891</v>
      </c>
      <c r="H20" s="3">
        <f>G20-F20</f>
        <v/>
      </c>
      <c r="I20" s="4">
        <f>IF(F20=0,0,(G20-F20)/F20)</f>
        <v/>
      </c>
      <c r="J20" s="2">
        <f>IF(I20&gt;0.1,"Over Budget",IF(I20&lt;-0.1,"Under Budget","On Track"))</f>
        <v/>
      </c>
      <c r="K20" s="3" t="n">
        <v>570939</v>
      </c>
      <c r="L20" s="2" t="inlineStr">
        <is>
          <t>Pulled forward Q3 spend to support pipeline</t>
        </is>
      </c>
    </row>
    <row r="21">
      <c r="A21" s="2" t="inlineStr">
        <is>
          <t>CC401</t>
        </is>
      </c>
      <c r="B21" s="2" t="inlineStr">
        <is>
          <t>Marketing</t>
        </is>
      </c>
      <c r="C21" s="2" t="inlineStr">
        <is>
          <t>Content &amp; Creative</t>
        </is>
      </c>
      <c r="D21" s="2" t="inlineStr">
        <is>
          <t>Diarmuid Healy</t>
        </is>
      </c>
      <c r="E21" s="2" t="inlineStr">
        <is>
          <t>Q1 FY26</t>
        </is>
      </c>
      <c r="F21" s="3" t="n">
        <v>350000</v>
      </c>
      <c r="G21" s="3" t="n">
        <v>371884</v>
      </c>
      <c r="H21" s="3">
        <f>G21-F21</f>
        <v/>
      </c>
      <c r="I21" s="4">
        <f>IF(F21=0,0,(G21-F21)/F21)</f>
        <v/>
      </c>
      <c r="J21" s="2">
        <f>IF(I21&gt;0.1,"Over Budget",IF(I21&lt;-0.1,"Under Budget","On Track"))</f>
        <v/>
      </c>
      <c r="K21" s="3" t="n">
        <v>1452523</v>
      </c>
      <c r="L21" s="2" t="inlineStr">
        <is>
          <t>Tracking to plan</t>
        </is>
      </c>
    </row>
    <row r="22">
      <c r="A22" s="2" t="inlineStr">
        <is>
          <t>CC401</t>
        </is>
      </c>
      <c r="B22" s="2" t="inlineStr">
        <is>
          <t>Marketing</t>
        </is>
      </c>
      <c r="C22" s="2" t="inlineStr">
        <is>
          <t>Content &amp; Creative</t>
        </is>
      </c>
      <c r="D22" s="2" t="inlineStr">
        <is>
          <t>Diarmuid Healy</t>
        </is>
      </c>
      <c r="E22" s="2" t="inlineStr">
        <is>
          <t>Q2 FY26</t>
        </is>
      </c>
      <c r="F22" s="3" t="n">
        <v>350000</v>
      </c>
      <c r="G22" s="3" t="n">
        <v>397704</v>
      </c>
      <c r="H22" s="3">
        <f>G22-F22</f>
        <v/>
      </c>
      <c r="I22" s="4">
        <f>IF(F22=0,0,(G22-F22)/F22)</f>
        <v/>
      </c>
      <c r="J22" s="2">
        <f>IF(I22&gt;0.1,"Over Budget",IF(I22&lt;-0.1,"Under Budget","On Track"))</f>
        <v/>
      </c>
      <c r="K22" s="3" t="n">
        <v>1514489</v>
      </c>
      <c r="L22" s="2" t="inlineStr">
        <is>
          <t>Tracking to plan</t>
        </is>
      </c>
    </row>
    <row r="23">
      <c r="A23" s="2" t="inlineStr">
        <is>
          <t>CC402</t>
        </is>
      </c>
      <c r="B23" s="2" t="inlineStr">
        <is>
          <t>Marketing</t>
        </is>
      </c>
      <c r="C23" s="2" t="inlineStr">
        <is>
          <t>Events &amp; Sponsorship</t>
        </is>
      </c>
      <c r="D23" s="2" t="inlineStr">
        <is>
          <t>Maeve Sullivan</t>
        </is>
      </c>
      <c r="E23" s="2" t="inlineStr">
        <is>
          <t>Q1 FY26</t>
        </is>
      </c>
      <c r="F23" s="3" t="n">
        <v>100000</v>
      </c>
      <c r="G23" s="3" t="n">
        <v>113028</v>
      </c>
      <c r="H23" s="3">
        <f>G23-F23</f>
        <v/>
      </c>
      <c r="I23" s="4">
        <f>IF(F23=0,0,(G23-F23)/F23)</f>
        <v/>
      </c>
      <c r="J23" s="2">
        <f>IF(I23&gt;0.1,"Over Budget",IF(I23&lt;-0.1,"Under Budget","On Track"))</f>
        <v/>
      </c>
      <c r="K23" s="3" t="n">
        <v>431267</v>
      </c>
      <c r="L23" s="2" t="inlineStr">
        <is>
          <t>Large event moved from Q3 to Q2</t>
        </is>
      </c>
    </row>
    <row r="24">
      <c r="A24" s="2" t="inlineStr">
        <is>
          <t>CC402</t>
        </is>
      </c>
      <c r="B24" s="2" t="inlineStr">
        <is>
          <t>Marketing</t>
        </is>
      </c>
      <c r="C24" s="2" t="inlineStr">
        <is>
          <t>Events &amp; Sponsorship</t>
        </is>
      </c>
      <c r="D24" s="2" t="inlineStr">
        <is>
          <t>Maeve Sullivan</t>
        </is>
      </c>
      <c r="E24" s="2" t="inlineStr">
        <is>
          <t>Q2 FY26</t>
        </is>
      </c>
      <c r="F24" s="3" t="n">
        <v>100000</v>
      </c>
      <c r="G24" s="3" t="n">
        <v>97215</v>
      </c>
      <c r="H24" s="3">
        <f>G24-F24</f>
        <v/>
      </c>
      <c r="I24" s="4">
        <f>IF(F24=0,0,(G24-F24)/F24)</f>
        <v/>
      </c>
      <c r="J24" s="2">
        <f>IF(I24&gt;0.1,"Over Budget",IF(I24&lt;-0.1,"Under Budget","On Track"))</f>
        <v/>
      </c>
      <c r="K24" s="3" t="n">
        <v>393316</v>
      </c>
      <c r="L24" s="2" t="inlineStr">
        <is>
          <t>Large event moved from Q3 to Q2</t>
        </is>
      </c>
    </row>
    <row r="25">
      <c r="A25" s="2" t="inlineStr">
        <is>
          <t>CC500</t>
        </is>
      </c>
      <c r="B25" s="2" t="inlineStr">
        <is>
          <t>Finance</t>
        </is>
      </c>
      <c r="C25" s="2" t="inlineStr">
        <is>
          <t>Audit &amp; Compliance</t>
        </is>
      </c>
      <c r="D25" s="2" t="inlineStr">
        <is>
          <t>Caoimhe Power</t>
        </is>
      </c>
      <c r="E25" s="2" t="inlineStr">
        <is>
          <t>Q1 FY26</t>
        </is>
      </c>
      <c r="F25" s="3" t="n">
        <v>500000</v>
      </c>
      <c r="G25" s="3" t="n">
        <v>469471</v>
      </c>
      <c r="H25" s="3">
        <f>G25-F25</f>
        <v/>
      </c>
      <c r="I25" s="4">
        <f>IF(F25=0,0,(G25-F25)/F25)</f>
        <v/>
      </c>
      <c r="J25" s="2">
        <f>IF(I25&gt;0.1,"Over Budget",IF(I25&lt;-0.1,"Under Budget","On Track"))</f>
        <v/>
      </c>
      <c r="K25" s="3" t="n">
        <v>1926730</v>
      </c>
      <c r="L25" s="2" t="inlineStr">
        <is>
          <t>Tracking to plan</t>
        </is>
      </c>
    </row>
    <row r="26">
      <c r="A26" s="2" t="inlineStr">
        <is>
          <t>CC500</t>
        </is>
      </c>
      <c r="B26" s="2" t="inlineStr">
        <is>
          <t>Finance</t>
        </is>
      </c>
      <c r="C26" s="2" t="inlineStr">
        <is>
          <t>Audit &amp; Compliance</t>
        </is>
      </c>
      <c r="D26" s="2" t="inlineStr">
        <is>
          <t>Caoimhe Power</t>
        </is>
      </c>
      <c r="E26" s="2" t="inlineStr">
        <is>
          <t>Q2 FY26</t>
        </is>
      </c>
      <c r="F26" s="3" t="n">
        <v>500000</v>
      </c>
      <c r="G26" s="3" t="n">
        <v>527705</v>
      </c>
      <c r="H26" s="3">
        <f>G26-F26</f>
        <v/>
      </c>
      <c r="I26" s="4">
        <f>IF(F26=0,0,(G26-F26)/F26)</f>
        <v/>
      </c>
      <c r="J26" s="2">
        <f>IF(I26&gt;0.1,"Over Budget",IF(I26&lt;-0.1,"Under Budget","On Track"))</f>
        <v/>
      </c>
      <c r="K26" s="3" t="n">
        <v>2066492</v>
      </c>
      <c r="L26" s="2" t="inlineStr">
        <is>
          <t>Tracking to plan</t>
        </is>
      </c>
    </row>
    <row r="27">
      <c r="A27" s="2" t="inlineStr">
        <is>
          <t>CC501</t>
        </is>
      </c>
      <c r="B27" s="2" t="inlineStr">
        <is>
          <t>Finance</t>
        </is>
      </c>
      <c r="C27" s="2" t="inlineStr">
        <is>
          <t>FP&amp;A Tools</t>
        </is>
      </c>
      <c r="D27" s="2" t="inlineStr">
        <is>
          <t>Fionn Casey</t>
        </is>
      </c>
      <c r="E27" s="2" t="inlineStr">
        <is>
          <t>Q1 FY26</t>
        </is>
      </c>
      <c r="F27" s="3" t="n">
        <v>350000</v>
      </c>
      <c r="G27" s="3" t="n">
        <v>329753</v>
      </c>
      <c r="H27" s="3">
        <f>G27-F27</f>
        <v/>
      </c>
      <c r="I27" s="4">
        <f>IF(F27=0,0,(G27-F27)/F27)</f>
        <v/>
      </c>
      <c r="J27" s="2">
        <f>IF(I27&gt;0.1,"Over Budget",IF(I27&lt;-0.1,"Under Budget","On Track"))</f>
        <v/>
      </c>
      <c r="K27" s="3" t="n">
        <v>1351408</v>
      </c>
      <c r="L27" s="2" t="inlineStr">
        <is>
          <t>Tracking to plan</t>
        </is>
      </c>
    </row>
    <row r="28">
      <c r="A28" s="2" t="inlineStr">
        <is>
          <t>CC501</t>
        </is>
      </c>
      <c r="B28" s="2" t="inlineStr">
        <is>
          <t>Finance</t>
        </is>
      </c>
      <c r="C28" s="2" t="inlineStr">
        <is>
          <t>FP&amp;A Tools</t>
        </is>
      </c>
      <c r="D28" s="2" t="inlineStr">
        <is>
          <t>Fionn Casey</t>
        </is>
      </c>
      <c r="E28" s="2" t="inlineStr">
        <is>
          <t>Q2 FY26</t>
        </is>
      </c>
      <c r="F28" s="3" t="n">
        <v>350000</v>
      </c>
      <c r="G28" s="3" t="n">
        <v>373944</v>
      </c>
      <c r="H28" s="3">
        <f>G28-F28</f>
        <v/>
      </c>
      <c r="I28" s="4">
        <f>IF(F28=0,0,(G28-F28)/F28)</f>
        <v/>
      </c>
      <c r="J28" s="2">
        <f>IF(I28&gt;0.1,"Over Budget",IF(I28&lt;-0.1,"Under Budget","On Track"))</f>
        <v/>
      </c>
      <c r="K28" s="3" t="n">
        <v>1457465</v>
      </c>
      <c r="L28" s="2" t="inlineStr">
        <is>
          <t>Tracking to plan</t>
        </is>
      </c>
    </row>
    <row r="29">
      <c r="A29" s="2" t="inlineStr">
        <is>
          <t>CC600</t>
        </is>
      </c>
      <c r="B29" s="2" t="inlineStr">
        <is>
          <t>Customer Service</t>
        </is>
      </c>
      <c r="C29" s="2" t="inlineStr">
        <is>
          <t>Headcount</t>
        </is>
      </c>
      <c r="D29" s="2" t="inlineStr">
        <is>
          <t>Aoibheann Reilly</t>
        </is>
      </c>
      <c r="E29" s="2" t="inlineStr">
        <is>
          <t>Q1 FY26</t>
        </is>
      </c>
      <c r="F29" s="3" t="n">
        <v>50000</v>
      </c>
      <c r="G29" s="3" t="n">
        <v>59952</v>
      </c>
      <c r="H29" s="3">
        <f>G29-F29</f>
        <v/>
      </c>
      <c r="I29" s="4">
        <f>IF(F29=0,0,(G29-F29)/F29)</f>
        <v/>
      </c>
      <c r="J29" s="2">
        <f>IF(I29&gt;0.1,"Over Budget",IF(I29&lt;-0.1,"Under Budget","On Track"))</f>
        <v/>
      </c>
      <c r="K29" s="3" t="n">
        <v>223884</v>
      </c>
      <c r="L29" s="2" t="inlineStr">
        <is>
          <t>Late backfills holding spend below plan</t>
        </is>
      </c>
    </row>
    <row r="30">
      <c r="A30" s="2" t="inlineStr">
        <is>
          <t>CC600</t>
        </is>
      </c>
      <c r="B30" s="2" t="inlineStr">
        <is>
          <t>Customer Service</t>
        </is>
      </c>
      <c r="C30" s="2" t="inlineStr">
        <is>
          <t>Headcount</t>
        </is>
      </c>
      <c r="D30" s="2" t="inlineStr">
        <is>
          <t>Aoibheann Reilly</t>
        </is>
      </c>
      <c r="E30" s="2" t="inlineStr">
        <is>
          <t>Q2 FY26</t>
        </is>
      </c>
      <c r="F30" s="3" t="n">
        <v>50000</v>
      </c>
      <c r="G30" s="3" t="n">
        <v>45156</v>
      </c>
      <c r="H30" s="3">
        <f>G30-F30</f>
        <v/>
      </c>
      <c r="I30" s="4">
        <f>IF(F30=0,0,(G30-F30)/F30)</f>
        <v/>
      </c>
      <c r="J30" s="2">
        <f>IF(I30&gt;0.1,"Over Budget",IF(I30&lt;-0.1,"Under Budget","On Track"))</f>
        <v/>
      </c>
      <c r="K30" s="3" t="n">
        <v>188374</v>
      </c>
      <c r="L30" s="2" t="inlineStr">
        <is>
          <t>Late backfills holding spend below plan</t>
        </is>
      </c>
    </row>
    <row r="31">
      <c r="A31" s="2" t="inlineStr">
        <is>
          <t>CC601</t>
        </is>
      </c>
      <c r="B31" s="2" t="inlineStr">
        <is>
          <t>Customer Service</t>
        </is>
      </c>
      <c r="C31" s="2" t="inlineStr">
        <is>
          <t>Contact Centre Tools</t>
        </is>
      </c>
      <c r="D31" s="2" t="inlineStr">
        <is>
          <t>Aoibheann Reilly</t>
        </is>
      </c>
      <c r="E31" s="2" t="inlineStr">
        <is>
          <t>Q1 FY26</t>
        </is>
      </c>
      <c r="F31" s="3" t="n">
        <v>100000</v>
      </c>
      <c r="G31" s="3" t="n">
        <v>92586</v>
      </c>
      <c r="H31" s="3">
        <f>G31-F31</f>
        <v/>
      </c>
      <c r="I31" s="4">
        <f>IF(F31=0,0,(G31-F31)/F31)</f>
        <v/>
      </c>
      <c r="J31" s="2">
        <f>IF(I31&gt;0.1,"Over Budget",IF(I31&lt;-0.1,"Under Budget","On Track"))</f>
        <v/>
      </c>
      <c r="K31" s="3" t="n">
        <v>382206</v>
      </c>
      <c r="L31" s="2" t="inlineStr">
        <is>
          <t>Tracking to plan</t>
        </is>
      </c>
    </row>
    <row r="32">
      <c r="A32" s="2" t="inlineStr">
        <is>
          <t>CC601</t>
        </is>
      </c>
      <c r="B32" s="2" t="inlineStr">
        <is>
          <t>Customer Service</t>
        </is>
      </c>
      <c r="C32" s="2" t="inlineStr">
        <is>
          <t>Contact Centre Tools</t>
        </is>
      </c>
      <c r="D32" s="2" t="inlineStr">
        <is>
          <t>Aoibheann Reilly</t>
        </is>
      </c>
      <c r="E32" s="2" t="inlineStr">
        <is>
          <t>Q2 FY26</t>
        </is>
      </c>
      <c r="F32" s="3" t="n">
        <v>100000</v>
      </c>
      <c r="G32" s="3" t="n">
        <v>85247</v>
      </c>
      <c r="H32" s="3">
        <f>G32-F32</f>
        <v/>
      </c>
      <c r="I32" s="4">
        <f>IF(F32=0,0,(G32-F32)/F32)</f>
        <v/>
      </c>
      <c r="J32" s="2">
        <f>IF(I32&gt;0.1,"Over Budget",IF(I32&lt;-0.1,"Under Budget","On Track"))</f>
        <v/>
      </c>
      <c r="K32" s="3" t="n">
        <v>364594</v>
      </c>
      <c r="L32" s="2" t="inlineStr">
        <is>
          <t>Tracking to plan</t>
        </is>
      </c>
    </row>
    <row r="33">
      <c r="A33" s="2" t="inlineStr">
        <is>
          <t>CC700</t>
        </is>
      </c>
      <c r="B33" s="2" t="inlineStr">
        <is>
          <t>IT</t>
        </is>
      </c>
      <c r="C33" s="2" t="inlineStr">
        <is>
          <t>Endpoint Refresh</t>
        </is>
      </c>
      <c r="D33" s="2" t="inlineStr">
        <is>
          <t>Oisin Daly</t>
        </is>
      </c>
      <c r="E33" s="2" t="inlineStr">
        <is>
          <t>Q1 FY26</t>
        </is>
      </c>
      <c r="F33" s="3" t="n">
        <v>100000</v>
      </c>
      <c r="G33" s="3" t="n">
        <v>88953</v>
      </c>
      <c r="H33" s="3">
        <f>G33-F33</f>
        <v/>
      </c>
      <c r="I33" s="4">
        <f>IF(F33=0,0,(G33-F33)/F33)</f>
        <v/>
      </c>
      <c r="J33" s="2">
        <f>IF(I33&gt;0.1,"Over Budget",IF(I33&lt;-0.1,"Under Budget","On Track"))</f>
        <v/>
      </c>
      <c r="K33" s="3" t="n">
        <v>373486</v>
      </c>
      <c r="L33" s="2" t="inlineStr">
        <is>
          <t>Shipment delays pushed spend</t>
        </is>
      </c>
    </row>
    <row r="34">
      <c r="A34" s="2" t="inlineStr">
        <is>
          <t>CC700</t>
        </is>
      </c>
      <c r="B34" s="2" t="inlineStr">
        <is>
          <t>IT</t>
        </is>
      </c>
      <c r="C34" s="2" t="inlineStr">
        <is>
          <t>Endpoint Refresh</t>
        </is>
      </c>
      <c r="D34" s="2" t="inlineStr">
        <is>
          <t>Oisin Daly</t>
        </is>
      </c>
      <c r="E34" s="2" t="inlineStr">
        <is>
          <t>Q2 FY26</t>
        </is>
      </c>
      <c r="F34" s="3" t="n">
        <v>100000</v>
      </c>
      <c r="G34" s="3" t="n">
        <v>85003</v>
      </c>
      <c r="H34" s="3">
        <f>G34-F34</f>
        <v/>
      </c>
      <c r="I34" s="4">
        <f>IF(F34=0,0,(G34-F34)/F34)</f>
        <v/>
      </c>
      <c r="J34" s="2">
        <f>IF(I34&gt;0.1,"Over Budget",IF(I34&lt;-0.1,"Under Budget","On Track"))</f>
        <v/>
      </c>
      <c r="K34" s="3" t="n">
        <v>364006</v>
      </c>
      <c r="L34" s="2" t="inlineStr">
        <is>
          <t>Shipment delays pushed spend</t>
        </is>
      </c>
    </row>
    <row r="35">
      <c r="A35" s="2" t="inlineStr">
        <is>
          <t>CC701</t>
        </is>
      </c>
      <c r="B35" s="2" t="inlineStr">
        <is>
          <t>IT</t>
        </is>
      </c>
      <c r="C35" s="2" t="inlineStr">
        <is>
          <t>Security</t>
        </is>
      </c>
      <c r="D35" s="2" t="inlineStr">
        <is>
          <t>Oisin Daly</t>
        </is>
      </c>
      <c r="E35" s="2" t="inlineStr">
        <is>
          <t>Q1 FY26</t>
        </is>
      </c>
      <c r="F35" s="3" t="n">
        <v>30000</v>
      </c>
      <c r="G35" s="3" t="n">
        <v>29502</v>
      </c>
      <c r="H35" s="3">
        <f>G35-F35</f>
        <v/>
      </c>
      <c r="I35" s="4">
        <f>IF(F35=0,0,(G35-F35)/F35)</f>
        <v/>
      </c>
      <c r="J35" s="2">
        <f>IF(I35&gt;0.1,"Over Budget",IF(I35&lt;-0.1,"Under Budget","On Track"))</f>
        <v/>
      </c>
      <c r="K35" s="3" t="n">
        <v>118805</v>
      </c>
      <c r="L35" s="2" t="inlineStr">
        <is>
          <t>Tooling consolidation savings</t>
        </is>
      </c>
    </row>
    <row r="36">
      <c r="A36" s="2" t="inlineStr">
        <is>
          <t>CC701</t>
        </is>
      </c>
      <c r="B36" s="2" t="inlineStr">
        <is>
          <t>IT</t>
        </is>
      </c>
      <c r="C36" s="2" t="inlineStr">
        <is>
          <t>Security</t>
        </is>
      </c>
      <c r="D36" s="2" t="inlineStr">
        <is>
          <t>Oisin Daly</t>
        </is>
      </c>
      <c r="E36" s="2" t="inlineStr">
        <is>
          <t>Q2 FY26</t>
        </is>
      </c>
      <c r="F36" s="3" t="n">
        <v>30000</v>
      </c>
      <c r="G36" s="3" t="n">
        <v>32872</v>
      </c>
      <c r="H36" s="3">
        <f>G36-F36</f>
        <v/>
      </c>
      <c r="I36" s="4">
        <f>IF(F36=0,0,(G36-F36)/F36)</f>
        <v/>
      </c>
      <c r="J36" s="2">
        <f>IF(I36&gt;0.1,"Over Budget",IF(I36&lt;-0.1,"Under Budget","On Track"))</f>
        <v/>
      </c>
      <c r="K36" s="3" t="n">
        <v>126894</v>
      </c>
      <c r="L36" s="2" t="inlineStr">
        <is>
          <t>Tooling consolidation savings</t>
        </is>
      </c>
    </row>
    <row r="37">
      <c r="A37" s="2" t="inlineStr">
        <is>
          <t>CC702</t>
        </is>
      </c>
      <c r="B37" s="2" t="inlineStr">
        <is>
          <t>IT</t>
        </is>
      </c>
      <c r="C37" s="2" t="inlineStr">
        <is>
          <t>M365 Licences</t>
        </is>
      </c>
      <c r="D37" s="2" t="inlineStr">
        <is>
          <t>Oisin Daly</t>
        </is>
      </c>
      <c r="E37" s="2" t="inlineStr">
        <is>
          <t>Q1 FY26</t>
        </is>
      </c>
      <c r="F37" s="3" t="n">
        <v>500000</v>
      </c>
      <c r="G37" s="3" t="n">
        <v>468252</v>
      </c>
      <c r="H37" s="3">
        <f>G37-F37</f>
        <v/>
      </c>
      <c r="I37" s="4">
        <f>IF(F37=0,0,(G37-F37)/F37)</f>
        <v/>
      </c>
      <c r="J37" s="2">
        <f>IF(I37&gt;0.1,"Over Budget",IF(I37&lt;-0.1,"Under Budget","On Track"))</f>
        <v/>
      </c>
      <c r="K37" s="3" t="n">
        <v>1923804</v>
      </c>
      <c r="L37" s="2" t="inlineStr">
        <is>
          <t>Copilot pilot drove uplift</t>
        </is>
      </c>
    </row>
    <row r="38">
      <c r="A38" s="2" t="inlineStr">
        <is>
          <t>CC702</t>
        </is>
      </c>
      <c r="B38" s="2" t="inlineStr">
        <is>
          <t>IT</t>
        </is>
      </c>
      <c r="C38" s="2" t="inlineStr">
        <is>
          <t>M365 Licences</t>
        </is>
      </c>
      <c r="D38" s="2" t="inlineStr">
        <is>
          <t>Oisin Daly</t>
        </is>
      </c>
      <c r="E38" s="2" t="inlineStr">
        <is>
          <t>Q2 FY26</t>
        </is>
      </c>
      <c r="F38" s="3" t="n">
        <v>500000</v>
      </c>
      <c r="G38" s="3" t="n">
        <v>456295</v>
      </c>
      <c r="H38" s="3">
        <f>G38-F38</f>
        <v/>
      </c>
      <c r="I38" s="4">
        <f>IF(F38=0,0,(G38-F38)/F38)</f>
        <v/>
      </c>
      <c r="J38" s="2">
        <f>IF(I38&gt;0.1,"Over Budget",IF(I38&lt;-0.1,"Under Budget","On Track"))</f>
        <v/>
      </c>
      <c r="K38" s="3" t="n">
        <v>1895109</v>
      </c>
      <c r="L38" s="2" t="inlineStr">
        <is>
          <t>Copilot pilot drove uplift</t>
        </is>
      </c>
    </row>
    <row r="39">
      <c r="A39" s="2" t="inlineStr">
        <is>
          <t>CC800</t>
        </is>
      </c>
      <c r="B39" s="2" t="inlineStr">
        <is>
          <t>Operations</t>
        </is>
      </c>
      <c r="C39" s="2" t="inlineStr">
        <is>
          <t>Facilities</t>
        </is>
      </c>
      <c r="D39" s="2" t="inlineStr">
        <is>
          <t>Siobhan Foley</t>
        </is>
      </c>
      <c r="E39" s="2" t="inlineStr">
        <is>
          <t>Q1 FY26</t>
        </is>
      </c>
      <c r="F39" s="3" t="n">
        <v>150000</v>
      </c>
      <c r="G39" s="3" t="n">
        <v>165179</v>
      </c>
      <c r="H39" s="3">
        <f>G39-F39</f>
        <v/>
      </c>
      <c r="I39" s="4">
        <f>IF(F39=0,0,(G39-F39)/F39)</f>
        <v/>
      </c>
      <c r="J39" s="2">
        <f>IF(I39&gt;0.1,"Over Budget",IF(I39&lt;-0.1,"Under Budget","On Track"))</f>
        <v/>
      </c>
      <c r="K39" s="3" t="n">
        <v>636430</v>
      </c>
      <c r="L39" s="2" t="inlineStr">
        <is>
          <t>Tracking to plan</t>
        </is>
      </c>
    </row>
    <row r="40">
      <c r="A40" s="2" t="inlineStr">
        <is>
          <t>CC800</t>
        </is>
      </c>
      <c r="B40" s="2" t="inlineStr">
        <is>
          <t>Operations</t>
        </is>
      </c>
      <c r="C40" s="2" t="inlineStr">
        <is>
          <t>Facilities</t>
        </is>
      </c>
      <c r="D40" s="2" t="inlineStr">
        <is>
          <t>Siobhan Foley</t>
        </is>
      </c>
      <c r="E40" s="2" t="inlineStr">
        <is>
          <t>Q2 FY26</t>
        </is>
      </c>
      <c r="F40" s="3" t="n">
        <v>150000</v>
      </c>
      <c r="G40" s="3" t="n">
        <v>150242</v>
      </c>
      <c r="H40" s="3">
        <f>G40-F40</f>
        <v/>
      </c>
      <c r="I40" s="4">
        <f>IF(F40=0,0,(G40-F40)/F40)</f>
        <v/>
      </c>
      <c r="J40" s="2">
        <f>IF(I40&gt;0.1,"Over Budget",IF(I40&lt;-0.1,"Under Budget","On Track"))</f>
        <v/>
      </c>
      <c r="K40" s="3" t="n">
        <v>600581</v>
      </c>
      <c r="L40" s="2" t="inlineStr">
        <is>
          <t>Tracking to plan</t>
        </is>
      </c>
    </row>
    <row r="41">
      <c r="A41" s="2" t="inlineStr">
        <is>
          <t>CC801</t>
        </is>
      </c>
      <c r="B41" s="2" t="inlineStr">
        <is>
          <t>Operations</t>
        </is>
      </c>
      <c r="C41" s="2" t="inlineStr">
        <is>
          <t>Travel</t>
        </is>
      </c>
      <c r="D41" s="2" t="inlineStr">
        <is>
          <t>Siobhan Foley</t>
        </is>
      </c>
      <c r="E41" s="2" t="inlineStr">
        <is>
          <t>Q1 FY26</t>
        </is>
      </c>
      <c r="F41" s="3" t="n">
        <v>100000</v>
      </c>
      <c r="G41" s="3" t="n">
        <v>118956</v>
      </c>
      <c r="H41" s="3">
        <f>G41-F41</f>
        <v/>
      </c>
      <c r="I41" s="4">
        <f>IF(F41=0,0,(G41-F41)/F41)</f>
        <v/>
      </c>
      <c r="J41" s="2">
        <f>IF(I41&gt;0.1,"Over Budget",IF(I41&lt;-0.1,"Under Budget","On Track"))</f>
        <v/>
      </c>
      <c r="K41" s="3" t="n">
        <v>445495</v>
      </c>
      <c r="L41" s="2" t="inlineStr">
        <is>
          <t>Tracking to plan</t>
        </is>
      </c>
    </row>
    <row r="42">
      <c r="A42" s="2" t="inlineStr">
        <is>
          <t>CC801</t>
        </is>
      </c>
      <c r="B42" s="2" t="inlineStr">
        <is>
          <t>Operations</t>
        </is>
      </c>
      <c r="C42" s="2" t="inlineStr">
        <is>
          <t>Travel</t>
        </is>
      </c>
      <c r="D42" s="2" t="inlineStr">
        <is>
          <t>Siobhan Foley</t>
        </is>
      </c>
      <c r="E42" s="2" t="inlineStr">
        <is>
          <t>Q2 FY26</t>
        </is>
      </c>
      <c r="F42" s="3" t="n">
        <v>100000</v>
      </c>
      <c r="G42" s="3" t="n">
        <v>113513</v>
      </c>
      <c r="H42" s="3">
        <f>G42-F42</f>
        <v/>
      </c>
      <c r="I42" s="4">
        <f>IF(F42=0,0,(G42-F42)/F42)</f>
        <v/>
      </c>
      <c r="J42" s="2">
        <f>IF(I42&gt;0.1,"Over Budget",IF(I42&lt;-0.1,"Under Budget","On Track"))</f>
        <v/>
      </c>
      <c r="K42" s="3" t="n">
        <v>432431</v>
      </c>
      <c r="L42" s="2" t="inlineStr">
        <is>
          <t>Tracking to plan</t>
        </is>
      </c>
    </row>
    <row r="43">
      <c r="A43" s="2" t="inlineStr">
        <is>
          <t>CC900</t>
        </is>
      </c>
      <c r="B43" s="2" t="inlineStr">
        <is>
          <t>Product</t>
        </is>
      </c>
      <c r="C43" s="2" t="inlineStr">
        <is>
          <t>Research</t>
        </is>
      </c>
      <c r="D43" s="2" t="inlineStr">
        <is>
          <t>Aine Connolly</t>
        </is>
      </c>
      <c r="E43" s="2" t="inlineStr">
        <is>
          <t>Q1 FY26</t>
        </is>
      </c>
      <c r="F43" s="3" t="n">
        <v>100000</v>
      </c>
      <c r="G43" s="3" t="n">
        <v>99006</v>
      </c>
      <c r="H43" s="3">
        <f>G43-F43</f>
        <v/>
      </c>
      <c r="I43" s="4">
        <f>IF(F43=0,0,(G43-F43)/F43)</f>
        <v/>
      </c>
      <c r="J43" s="2">
        <f>IF(I43&gt;0.1,"Over Budget",IF(I43&lt;-0.1,"Under Budget","On Track"))</f>
        <v/>
      </c>
      <c r="K43" s="3" t="n">
        <v>397613</v>
      </c>
      <c r="L43" s="2" t="inlineStr">
        <is>
          <t>Tracking to plan</t>
        </is>
      </c>
    </row>
    <row r="44">
      <c r="A44" s="2" t="inlineStr">
        <is>
          <t>CC900</t>
        </is>
      </c>
      <c r="B44" s="2" t="inlineStr">
        <is>
          <t>Product</t>
        </is>
      </c>
      <c r="C44" s="2" t="inlineStr">
        <is>
          <t>Research</t>
        </is>
      </c>
      <c r="D44" s="2" t="inlineStr">
        <is>
          <t>Aine Connolly</t>
        </is>
      </c>
      <c r="E44" s="2" t="inlineStr">
        <is>
          <t>Q2 FY26</t>
        </is>
      </c>
      <c r="F44" s="3" t="n">
        <v>100000</v>
      </c>
      <c r="G44" s="3" t="n">
        <v>103782</v>
      </c>
      <c r="H44" s="3">
        <f>G44-F44</f>
        <v/>
      </c>
      <c r="I44" s="4">
        <f>IF(F44=0,0,(G44-F44)/F44)</f>
        <v/>
      </c>
      <c r="J44" s="2">
        <f>IF(I44&gt;0.1,"Over Budget",IF(I44&lt;-0.1,"Under Budget","On Track"))</f>
        <v/>
      </c>
      <c r="K44" s="3" t="n">
        <v>409078</v>
      </c>
      <c r="L44" s="2" t="inlineStr">
        <is>
          <t>Tracking to plan</t>
        </is>
      </c>
    </row>
    <row r="45">
      <c r="A45" s="2" t="inlineStr">
        <is>
          <t>CC901</t>
        </is>
      </c>
      <c r="B45" s="2" t="inlineStr">
        <is>
          <t>Product</t>
        </is>
      </c>
      <c r="C45" s="2" t="inlineStr">
        <is>
          <t>User Testing</t>
        </is>
      </c>
      <c r="D45" s="2" t="inlineStr">
        <is>
          <t>Killian Whelan</t>
        </is>
      </c>
      <c r="E45" s="2" t="inlineStr">
        <is>
          <t>Q1 FY26</t>
        </is>
      </c>
      <c r="F45" s="3" t="n">
        <v>75000</v>
      </c>
      <c r="G45" s="3" t="n">
        <v>88752</v>
      </c>
      <c r="H45" s="3">
        <f>G45-F45</f>
        <v/>
      </c>
      <c r="I45" s="4">
        <f>IF(F45=0,0,(G45-F45)/F45)</f>
        <v/>
      </c>
      <c r="J45" s="2">
        <f>IF(I45&gt;0.1,"Over Budget",IF(I45&lt;-0.1,"Under Budget","On Track"))</f>
        <v/>
      </c>
      <c r="K45" s="3" t="n">
        <v>333006</v>
      </c>
      <c r="L45" s="2" t="inlineStr">
        <is>
          <t>Tracking to plan</t>
        </is>
      </c>
    </row>
    <row r="46">
      <c r="A46" s="2" t="inlineStr">
        <is>
          <t>CC901</t>
        </is>
      </c>
      <c r="B46" s="2" t="inlineStr">
        <is>
          <t>Product</t>
        </is>
      </c>
      <c r="C46" s="2" t="inlineStr">
        <is>
          <t>User Testing</t>
        </is>
      </c>
      <c r="D46" s="2" t="inlineStr">
        <is>
          <t>Killian Whelan</t>
        </is>
      </c>
      <c r="E46" s="2" t="inlineStr">
        <is>
          <t>Q2 FY26</t>
        </is>
      </c>
      <c r="F46" s="3" t="n">
        <v>75000</v>
      </c>
      <c r="G46" s="3" t="n">
        <v>86299</v>
      </c>
      <c r="H46" s="3">
        <f>G46-F46</f>
        <v/>
      </c>
      <c r="I46" s="4">
        <f>IF(F46=0,0,(G46-F46)/F46)</f>
        <v/>
      </c>
      <c r="J46" s="2">
        <f>IF(I46&gt;0.1,"Over Budget",IF(I46&lt;-0.1,"Under Budget","On Track"))</f>
        <v/>
      </c>
      <c r="K46" s="3" t="n">
        <v>327117</v>
      </c>
      <c r="L46" s="2" t="inlineStr">
        <is>
          <t>Tracking to plan</t>
        </is>
      </c>
    </row>
    <row r="47">
      <c r="A47" s="2" t="inlineStr">
        <is>
          <t>CC950</t>
        </is>
      </c>
      <c r="B47" s="2" t="inlineStr">
        <is>
          <t>Legal</t>
        </is>
      </c>
      <c r="C47" s="2" t="inlineStr">
        <is>
          <t>External Counsel</t>
        </is>
      </c>
      <c r="D47" s="2" t="inlineStr">
        <is>
          <t>Grainne Tobin</t>
        </is>
      </c>
      <c r="E47" s="2" t="inlineStr">
        <is>
          <t>Q1 FY26</t>
        </is>
      </c>
      <c r="F47" s="3" t="n">
        <v>50000</v>
      </c>
      <c r="G47" s="3" t="n">
        <v>42193</v>
      </c>
      <c r="H47" s="3">
        <f>G47-F47</f>
        <v/>
      </c>
      <c r="I47" s="4">
        <f>IF(F47=0,0,(G47-F47)/F47)</f>
        <v/>
      </c>
      <c r="J47" s="2">
        <f>IF(I47&gt;0.1,"Over Budget",IF(I47&lt;-0.1,"Under Budget","On Track"))</f>
        <v/>
      </c>
      <c r="K47" s="3" t="n">
        <v>181263</v>
      </c>
      <c r="L47" s="2" t="inlineStr">
        <is>
          <t>Litigation matter increased spend</t>
        </is>
      </c>
    </row>
    <row r="48">
      <c r="A48" s="2" t="inlineStr">
        <is>
          <t>CC950</t>
        </is>
      </c>
      <c r="B48" s="2" t="inlineStr">
        <is>
          <t>Legal</t>
        </is>
      </c>
      <c r="C48" s="2" t="inlineStr">
        <is>
          <t>External Counsel</t>
        </is>
      </c>
      <c r="D48" s="2" t="inlineStr">
        <is>
          <t>Grainne Tobin</t>
        </is>
      </c>
      <c r="E48" s="2" t="inlineStr">
        <is>
          <t>Q2 FY26</t>
        </is>
      </c>
      <c r="F48" s="3" t="n">
        <v>50000</v>
      </c>
      <c r="G48" s="3" t="n">
        <v>56853</v>
      </c>
      <c r="H48" s="3">
        <f>G48-F48</f>
        <v/>
      </c>
      <c r="I48" s="4">
        <f>IF(F48=0,0,(G48-F48)/F48)</f>
        <v/>
      </c>
      <c r="J48" s="2">
        <f>IF(I48&gt;0.1,"Over Budget",IF(I48&lt;-0.1,"Under Budget","On Track"))</f>
        <v/>
      </c>
      <c r="K48" s="3" t="n">
        <v>216446</v>
      </c>
      <c r="L48" s="2" t="inlineStr">
        <is>
          <t>Litigation matter increased spend</t>
        </is>
      </c>
    </row>
    <row r="49">
      <c r="A49" s="2" t="n"/>
      <c r="B49" s="2" t="n"/>
      <c r="C49" s="2" t="n"/>
      <c r="D49" s="2" t="n"/>
      <c r="E49" s="2" t="n"/>
      <c r="F49" s="3" t="n"/>
      <c r="G49" s="3" t="n"/>
      <c r="H49" s="3">
        <f>G49-F49</f>
        <v/>
      </c>
      <c r="I49" s="4">
        <f>IF(F49=0,0,(G49-F49)/F49)</f>
        <v/>
      </c>
      <c r="J49" s="2">
        <f>IF(I49&gt;0.1,"Over Budget",IF(I49&lt;-0.1,"Under Budget","On Track"))</f>
        <v/>
      </c>
      <c r="K49" s="3" t="n"/>
      <c r="L4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2026-05-18T08:54:19Z</dcterms:created>
  <dcterms:modified xmlns:dcterms="http://purl.org/dc/terms/" xmlns:xsi="http://www.w3.org/2001/XMLSchema-instance" xsi:type="dcterms:W3CDTF">2026-05-18T08:54:20Z</dcterms:modified>
</cp:coreProperties>
</file>