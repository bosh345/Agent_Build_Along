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ampaigns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<sst xmlns="http://schemas.openxmlformats.org/spreadsheetml/2006/main" count="120" uniqueCount="78">
  <si>
    <t xml:space="preserve">Campaign ID</t>
  </si>
  <si>
    <t xml:space="preserve">Campaign Name</t>
  </si>
  <si>
    <t xml:space="preserve">Channel</t>
  </si>
  <si>
    <t xml:space="preserve">Region</t>
  </si>
  <si>
    <t xml:space="preserve">Owner</t>
  </si>
  <si>
    <t xml:space="preserve">Status</t>
  </si>
  <si>
    <t xml:space="preserve">Start Date</t>
  </si>
  <si>
    <t xml:space="preserve">End Date</t>
  </si>
  <si>
    <t xml:space="preserve">Budget (EUR)</t>
  </si>
  <si>
    <t xml:space="preserve">Spend (EUR)</t>
  </si>
  <si>
    <t xml:space="preserve">Impressions</t>
  </si>
  <si>
    <t xml:space="preserve">Clicks</t>
  </si>
  <si>
    <t xml:space="preserve">CTR (%)</t>
  </si>
  <si>
    <t xml:space="preserve">MQLs</t>
  </si>
  <si>
    <t xml:space="preserve">SQLs</t>
  </si>
  <si>
    <t xml:space="preserve">Opportunities</t>
  </si>
  <si>
    <t xml:space="preserve">Pipeline Generated (EUR)</t>
  </si>
  <si>
    <t xml:space="preserve">ROI</t>
  </si>
  <si>
    <t xml:space="preserve">CMP5002</t>
  </si>
  <si>
    <t xml:space="preserve">Cloud Migration Webinar Series</t>
  </si>
  <si>
    <t xml:space="preserve">Webinar</t>
  </si>
  <si>
    <t xml:space="preserve">UK</t>
  </si>
  <si>
    <t xml:space="preserve">Diarmuid Healy</t>
  </si>
  <si>
    <t xml:space="preserve">Complete</t>
  </si>
  <si>
    <t xml:space="preserve">CMP5003</t>
  </si>
  <si>
    <t xml:space="preserve">Data Platform Roadshow</t>
  </si>
  <si>
    <t xml:space="preserve">Field Event</t>
  </si>
  <si>
    <t xml:space="preserve">DACH</t>
  </si>
  <si>
    <t xml:space="preserve">Maeve Sullivan</t>
  </si>
  <si>
    <t xml:space="preserve">CMP5004</t>
  </si>
  <si>
    <t xml:space="preserve">Security Suite Email Nurture</t>
  </si>
  <si>
    <t xml:space="preserve">Email</t>
  </si>
  <si>
    <t xml:space="preserve">Ireland</t>
  </si>
  <si>
    <t xml:space="preserve">Orla Nolan</t>
  </si>
  <si>
    <t xml:space="preserve">Live</t>
  </si>
  <si>
    <t xml:space="preserve">CMP5005</t>
  </si>
  <si>
    <t xml:space="preserve">Retail Vertical SEO Push</t>
  </si>
  <si>
    <t xml:space="preserve">SEO</t>
  </si>
  <si>
    <t xml:space="preserve">France</t>
  </si>
  <si>
    <t xml:space="preserve">CMP5006</t>
  </si>
  <si>
    <t xml:space="preserve">Partner Co-Marketing - AlpenTech</t>
  </si>
  <si>
    <t xml:space="preserve">Partner</t>
  </si>
  <si>
    <t xml:space="preserve">CMP5007</t>
  </si>
  <si>
    <t xml:space="preserve">Financial Services Whitepaper</t>
  </si>
  <si>
    <t xml:space="preserve">Content Syndication</t>
  </si>
  <si>
    <t xml:space="preserve">CMP5008</t>
  </si>
  <si>
    <t xml:space="preserve">Healthcare LinkedIn Campaign</t>
  </si>
  <si>
    <t xml:space="preserve">Paid Social</t>
  </si>
  <si>
    <t xml:space="preserve">Iberia</t>
  </si>
  <si>
    <t xml:space="preserve">CMP5009</t>
  </si>
  <si>
    <t xml:space="preserve">Customer Advocacy Stories</t>
  </si>
  <si>
    <t xml:space="preserve">Content</t>
  </si>
  <si>
    <t xml:space="preserve">CMP5010</t>
  </si>
  <si>
    <t xml:space="preserve">Nordic Energy Event Sponsorship</t>
  </si>
  <si>
    <t xml:space="preserve">Sponsorship</t>
  </si>
  <si>
    <t xml:space="preserve">Nordics</t>
  </si>
  <si>
    <t xml:space="preserve">Planned</t>
  </si>
  <si>
    <t xml:space="preserve">CMP5011</t>
  </si>
  <si>
    <t xml:space="preserve">Q1 Brand Refresh Display</t>
  </si>
  <si>
    <t xml:space="preserve">Display</t>
  </si>
  <si>
    <t xml:space="preserve">CMP5012</t>
  </si>
  <si>
    <t xml:space="preserve">SMB Direct Mail Pilot</t>
  </si>
  <si>
    <t xml:space="preserve">Direct Mail</t>
  </si>
  <si>
    <t xml:space="preserve">Paused</t>
  </si>
  <si>
    <t xml:space="preserve">CMP5013</t>
  </si>
  <si>
    <t xml:space="preserve">Analytics Add-on Product Launch</t>
  </si>
  <si>
    <t xml:space="preserve">Multi-channel</t>
  </si>
  <si>
    <t xml:space="preserve">CMP5014</t>
  </si>
  <si>
    <t xml:space="preserve">Pharma Account-Based Marketing</t>
  </si>
  <si>
    <t xml:space="preserve">ABM</t>
  </si>
  <si>
    <t xml:space="preserve">CMP5015</t>
  </si>
  <si>
    <t xml:space="preserve">Transport &amp; Logistics Newsletter</t>
  </si>
  <si>
    <t xml:space="preserve">CMP5016</t>
  </si>
  <si>
    <t xml:space="preserve">Public Sector Tender Awareness</t>
  </si>
  <si>
    <t xml:space="preserve">CMP5017</t>
  </si>
  <si>
    <t xml:space="preserve">Managed Services Reactivation</t>
  </si>
  <si>
    <t xml:space="preserve">CMP5018</t>
  </si>
  <si>
    <t xml:space="preserve">Spring User Conference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</si>
</sst>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yyyy\-mm\-dd"/>
    <numFmt numFmtId="166" formatCode="\€#,##0;&quot;(€&quot;#,##0\);\-"/>
    <numFmt numFmtId="167" formatCode="#,##0"/>
    <numFmt numFmtId="168" formatCode="0.00%;\(0.00%\);\-"/>
    <numFmt numFmtId="169" formatCode="0.0\x;\(0.0&quot;x)&quot;;\-"/>
  </numFmts>
  <fonts count="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FFFFFF"/>
      <name val="Arial"/>
      <family val="0"/>
      <charset val="1"/>
    </font>
    <font>
      <sz val="10"/>
      <name val="Arial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4B2D83"/>
        <bgColor rgb="FF333333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4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4B2D83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1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34"/>
    <col collapsed="false" customWidth="true" hidden="false" outlineLevel="0" max="3" min="3" style="0" width="18"/>
    <col collapsed="false" customWidth="true" hidden="false" outlineLevel="0" max="4" min="4" style="0" width="10"/>
    <col collapsed="false" customWidth="true" hidden="false" outlineLevel="0" max="5" min="5" style="0" width="18"/>
    <col collapsed="false" customWidth="true" hidden="false" outlineLevel="0" max="6" min="6" style="0" width="10"/>
    <col collapsed="false" customWidth="true" hidden="false" outlineLevel="0" max="8" min="7" style="0" width="12"/>
    <col collapsed="false" customWidth="true" hidden="false" outlineLevel="0" max="11" min="9" style="0" width="14"/>
    <col collapsed="false" customWidth="true" hidden="false" outlineLevel="0" max="12" min="12" style="0" width="12"/>
    <col collapsed="false" customWidth="true" hidden="false" outlineLevel="0" max="15" min="13" style="0" width="10"/>
    <col collapsed="false" customWidth="true" hidden="false" outlineLevel="0" max="16" min="16" style="0" width="14"/>
    <col collapsed="false" customWidth="true" hidden="false" outlineLevel="0" max="17" min="17" style="0" width="20"/>
    <col collapsed="false" customWidth="true" hidden="false" outlineLevel="0" max="18" min="18" style="0" width="10"/>
  </cols>
  <sheetData>
    <row r="1" customFormat="false" ht="24" hidden="false" customHeight="tru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2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</row>
    <row r="2" customFormat="false" ht="15" hidden="false" customHeight="false" outlineLevel="0" collapsed="false">
      <c r="A2" s="3" t="s">
        <v>18</v>
      </c>
      <c r="B2" s="3" t="s">
        <v>19</v>
      </c>
      <c r="C2" s="3" t="s">
        <v>20</v>
      </c>
      <c r="D2" s="3" t="s">
        <v>21</v>
      </c>
      <c r="E2" s="3" t="s">
        <v>22</v>
      </c>
      <c r="F2" s="3" t="s">
        <v>23</v>
      </c>
      <c r="G2" s="4" t="n">
        <v>46055</v>
      </c>
      <c r="H2" s="4" t="n">
        <v>46077</v>
      </c>
      <c r="I2" s="5" t="n">
        <v>15000</v>
      </c>
      <c r="J2" s="5" t="n">
        <v>10791</v>
      </c>
      <c r="K2" s="6" t="n">
        <v>571663</v>
      </c>
      <c r="L2" s="6" t="n">
        <v>19819</v>
      </c>
      <c r="M2" s="7" t="n">
        <f aca="false">IF(K2=0,0,L2/K2)</f>
        <v>0.0346690270316603</v>
      </c>
      <c r="N2" s="3" t="n">
        <v>1022</v>
      </c>
      <c r="O2" s="3" t="n">
        <v>484</v>
      </c>
      <c r="P2" s="3" t="n">
        <v>166</v>
      </c>
      <c r="Q2" s="5" t="n">
        <v>14940000</v>
      </c>
      <c r="R2" s="8" t="n">
        <f aca="false">IF(J2=0,0,(Q2-J2)/J2)</f>
        <v>1383.48707256047</v>
      </c>
    </row>
    <row r="3" customFormat="false" ht="15" hidden="false" customHeight="false" outlineLevel="0" collapsed="false">
      <c r="A3" s="3" t="s">
        <v>24</v>
      </c>
      <c r="B3" s="3" t="s">
        <v>25</v>
      </c>
      <c r="C3" s="3" t="s">
        <v>26</v>
      </c>
      <c r="D3" s="3" t="s">
        <v>27</v>
      </c>
      <c r="E3" s="3" t="s">
        <v>28</v>
      </c>
      <c r="F3" s="3" t="s">
        <v>23</v>
      </c>
      <c r="G3" s="4" t="n">
        <v>46110</v>
      </c>
      <c r="H3" s="4" t="n">
        <v>46187</v>
      </c>
      <c r="I3" s="5" t="n">
        <v>60000</v>
      </c>
      <c r="J3" s="5" t="n">
        <v>41982</v>
      </c>
      <c r="K3" s="6" t="n">
        <v>4841</v>
      </c>
      <c r="L3" s="6" t="n">
        <v>165</v>
      </c>
      <c r="M3" s="7" t="n">
        <f aca="false">IF(K3=0,0,L3/K3)</f>
        <v>0.0340838669696344</v>
      </c>
      <c r="N3" s="3" t="n">
        <v>12</v>
      </c>
      <c r="O3" s="3" t="n">
        <v>5</v>
      </c>
      <c r="P3" s="3" t="n">
        <v>1</v>
      </c>
      <c r="Q3" s="5" t="n">
        <v>35000</v>
      </c>
      <c r="R3" s="8" t="n">
        <f aca="false">IF(J3=0,0,(Q3-J3)/J3)</f>
        <v>-0.166309370682674</v>
      </c>
    </row>
    <row r="4" customFormat="false" ht="15" hidden="false" customHeight="false" outlineLevel="0" collapsed="false">
      <c r="A4" s="3" t="s">
        <v>29</v>
      </c>
      <c r="B4" s="3" t="s">
        <v>30</v>
      </c>
      <c r="C4" s="3" t="s">
        <v>31</v>
      </c>
      <c r="D4" s="3" t="s">
        <v>32</v>
      </c>
      <c r="E4" s="3" t="s">
        <v>33</v>
      </c>
      <c r="F4" s="3" t="s">
        <v>34</v>
      </c>
      <c r="G4" s="4" t="n">
        <v>46122</v>
      </c>
      <c r="H4" s="4" t="n">
        <v>46203</v>
      </c>
      <c r="I4" s="5" t="n">
        <v>150000</v>
      </c>
      <c r="J4" s="5" t="n">
        <v>117109</v>
      </c>
      <c r="K4" s="6" t="n">
        <v>492824</v>
      </c>
      <c r="L4" s="6" t="n">
        <v>12129</v>
      </c>
      <c r="M4" s="7" t="n">
        <f aca="false">IF(K4=0,0,L4/K4)</f>
        <v>0.0246112202327809</v>
      </c>
      <c r="N4" s="3" t="n">
        <v>905</v>
      </c>
      <c r="O4" s="3" t="n">
        <v>246</v>
      </c>
      <c r="P4" s="3" t="n">
        <v>55</v>
      </c>
      <c r="Q4" s="5" t="n">
        <v>12100000</v>
      </c>
      <c r="R4" s="8" t="n">
        <f aca="false">IF(J4=0,0,(Q4-J4)/J4)</f>
        <v>102.322545662588</v>
      </c>
    </row>
    <row r="5" customFormat="false" ht="15" hidden="false" customHeight="false" outlineLevel="0" collapsed="false">
      <c r="A5" s="3" t="s">
        <v>35</v>
      </c>
      <c r="B5" s="3" t="s">
        <v>36</v>
      </c>
      <c r="C5" s="3" t="s">
        <v>37</v>
      </c>
      <c r="D5" s="3" t="s">
        <v>38</v>
      </c>
      <c r="E5" s="3" t="s">
        <v>22</v>
      </c>
      <c r="F5" s="3" t="s">
        <v>34</v>
      </c>
      <c r="G5" s="4" t="n">
        <v>46100</v>
      </c>
      <c r="H5" s="4" t="n">
        <v>46128</v>
      </c>
      <c r="I5" s="5" t="n">
        <v>15000</v>
      </c>
      <c r="J5" s="5" t="n">
        <v>10856</v>
      </c>
      <c r="K5" s="6" t="n">
        <v>2495197</v>
      </c>
      <c r="L5" s="6" t="n">
        <v>67206</v>
      </c>
      <c r="M5" s="7" t="n">
        <f aca="false">IF(K5=0,0,L5/K5)</f>
        <v>0.0269341458810667</v>
      </c>
      <c r="N5" s="3" t="n">
        <v>2655</v>
      </c>
      <c r="O5" s="3" t="n">
        <v>1456</v>
      </c>
      <c r="P5" s="3" t="n">
        <v>523</v>
      </c>
      <c r="Q5" s="5" t="n">
        <v>78450000</v>
      </c>
      <c r="R5" s="8" t="n">
        <f aca="false">IF(J5=0,0,(Q5-J5)/J5)</f>
        <v>7225.41857037583</v>
      </c>
    </row>
    <row r="6" customFormat="false" ht="15" hidden="false" customHeight="false" outlineLevel="0" collapsed="false">
      <c r="A6" s="3" t="s">
        <v>39</v>
      </c>
      <c r="B6" s="3" t="s">
        <v>40</v>
      </c>
      <c r="C6" s="3" t="s">
        <v>41</v>
      </c>
      <c r="D6" s="3" t="s">
        <v>27</v>
      </c>
      <c r="E6" s="3" t="s">
        <v>28</v>
      </c>
      <c r="F6" s="3" t="s">
        <v>34</v>
      </c>
      <c r="G6" s="4" t="n">
        <v>46008</v>
      </c>
      <c r="H6" s="4" t="n">
        <v>46083</v>
      </c>
      <c r="I6" s="5" t="n">
        <v>8000</v>
      </c>
      <c r="J6" s="5" t="n">
        <v>7655</v>
      </c>
      <c r="K6" s="6" t="n">
        <v>519887</v>
      </c>
      <c r="L6" s="6" t="n">
        <v>20334</v>
      </c>
      <c r="M6" s="7" t="n">
        <f aca="false">IF(K6=0,0,L6/K6)</f>
        <v>0.0391123455674021</v>
      </c>
      <c r="N6" s="3" t="n">
        <v>1201</v>
      </c>
      <c r="O6" s="3" t="n">
        <v>577</v>
      </c>
      <c r="P6" s="3" t="n">
        <v>240</v>
      </c>
      <c r="Q6" s="5" t="n">
        <v>14400000</v>
      </c>
      <c r="R6" s="8" t="n">
        <f aca="false">IF(J6=0,0,(Q6-J6)/J6)</f>
        <v>1880.12344872632</v>
      </c>
    </row>
    <row r="7" customFormat="false" ht="15" hidden="false" customHeight="false" outlineLevel="0" collapsed="false">
      <c r="A7" s="3" t="s">
        <v>42</v>
      </c>
      <c r="B7" s="3" t="s">
        <v>43</v>
      </c>
      <c r="C7" s="3" t="s">
        <v>44</v>
      </c>
      <c r="D7" s="3" t="s">
        <v>21</v>
      </c>
      <c r="E7" s="3" t="s">
        <v>33</v>
      </c>
      <c r="F7" s="3" t="s">
        <v>23</v>
      </c>
      <c r="G7" s="4" t="n">
        <v>46027</v>
      </c>
      <c r="H7" s="4" t="n">
        <v>46104</v>
      </c>
      <c r="I7" s="5" t="n">
        <v>15000</v>
      </c>
      <c r="J7" s="5" t="n">
        <v>11793</v>
      </c>
      <c r="K7" s="6" t="n">
        <v>1942112</v>
      </c>
      <c r="L7" s="6" t="n">
        <v>40686</v>
      </c>
      <c r="M7" s="7" t="n">
        <f aca="false">IF(K7=0,0,L7/K7)</f>
        <v>0.0209493582244484</v>
      </c>
      <c r="N7" s="3" t="n">
        <v>2595</v>
      </c>
      <c r="O7" s="3" t="n">
        <v>892</v>
      </c>
      <c r="P7" s="3" t="n">
        <v>262</v>
      </c>
      <c r="Q7" s="5" t="n">
        <v>23580000</v>
      </c>
      <c r="R7" s="8" t="n">
        <f aca="false">IF(J7=0,0,(Q7-J7)/J7)</f>
        <v>1998.49122360722</v>
      </c>
    </row>
    <row r="8" customFormat="false" ht="15" hidden="false" customHeight="false" outlineLevel="0" collapsed="false">
      <c r="A8" s="3" t="s">
        <v>45</v>
      </c>
      <c r="B8" s="3" t="s">
        <v>46</v>
      </c>
      <c r="C8" s="3" t="s">
        <v>47</v>
      </c>
      <c r="D8" s="3" t="s">
        <v>48</v>
      </c>
      <c r="E8" s="3" t="s">
        <v>22</v>
      </c>
      <c r="F8" s="3" t="s">
        <v>34</v>
      </c>
      <c r="G8" s="4" t="n">
        <v>46042</v>
      </c>
      <c r="H8" s="4" t="n">
        <v>46081</v>
      </c>
      <c r="I8" s="5" t="n">
        <v>90000</v>
      </c>
      <c r="J8" s="5" t="n">
        <v>91381</v>
      </c>
      <c r="K8" s="6" t="n">
        <v>321577</v>
      </c>
      <c r="L8" s="6" t="n">
        <v>2781</v>
      </c>
      <c r="M8" s="7" t="n">
        <f aca="false">IF(K8=0,0,L8/K8)</f>
        <v>0.00864800654275648</v>
      </c>
      <c r="N8" s="3" t="n">
        <v>70</v>
      </c>
      <c r="O8" s="3" t="n">
        <v>27</v>
      </c>
      <c r="P8" s="3" t="n">
        <v>11</v>
      </c>
      <c r="Q8" s="5" t="n">
        <v>990000</v>
      </c>
      <c r="R8" s="8" t="n">
        <f aca="false">IF(J8=0,0,(Q8-J8)/J8)</f>
        <v>9.83376194176032</v>
      </c>
    </row>
    <row r="9" customFormat="false" ht="15" hidden="false" customHeight="false" outlineLevel="0" collapsed="false">
      <c r="A9" s="3" t="s">
        <v>49</v>
      </c>
      <c r="B9" s="3" t="s">
        <v>50</v>
      </c>
      <c r="C9" s="3" t="s">
        <v>51</v>
      </c>
      <c r="D9" s="3" t="s">
        <v>32</v>
      </c>
      <c r="E9" s="3" t="s">
        <v>28</v>
      </c>
      <c r="F9" s="3" t="s">
        <v>34</v>
      </c>
      <c r="G9" s="4" t="n">
        <v>46104</v>
      </c>
      <c r="H9" s="4" t="n">
        <v>46131</v>
      </c>
      <c r="I9" s="5" t="n">
        <v>60000</v>
      </c>
      <c r="J9" s="5" t="n">
        <v>61829</v>
      </c>
      <c r="K9" s="6" t="n">
        <v>2395870</v>
      </c>
      <c r="L9" s="6" t="n">
        <v>43571</v>
      </c>
      <c r="M9" s="7" t="n">
        <f aca="false">IF(K9=0,0,L9/K9)</f>
        <v>0.0181858781987337</v>
      </c>
      <c r="N9" s="3" t="n">
        <v>1191</v>
      </c>
      <c r="O9" s="3" t="n">
        <v>424</v>
      </c>
      <c r="P9" s="3" t="n">
        <v>169</v>
      </c>
      <c r="Q9" s="5" t="n">
        <v>25350000</v>
      </c>
      <c r="R9" s="8" t="n">
        <f aca="false">IF(J9=0,0,(Q9-J9)/J9)</f>
        <v>409.001779100422</v>
      </c>
    </row>
    <row r="10" customFormat="false" ht="15" hidden="false" customHeight="false" outlineLevel="0" collapsed="false">
      <c r="A10" s="3" t="s">
        <v>52</v>
      </c>
      <c r="B10" s="3" t="s">
        <v>53</v>
      </c>
      <c r="C10" s="3" t="s">
        <v>54</v>
      </c>
      <c r="D10" s="3" t="s">
        <v>55</v>
      </c>
      <c r="E10" s="3" t="s">
        <v>28</v>
      </c>
      <c r="F10" s="3" t="s">
        <v>56</v>
      </c>
      <c r="G10" s="4" t="n">
        <v>46124</v>
      </c>
      <c r="H10" s="4" t="n">
        <v>46180</v>
      </c>
      <c r="I10" s="5" t="n">
        <v>60000</v>
      </c>
      <c r="J10" s="5" t="n">
        <v>0</v>
      </c>
      <c r="K10" s="6" t="n">
        <v>22476</v>
      </c>
      <c r="L10" s="6" t="n">
        <v>429</v>
      </c>
      <c r="M10" s="7" t="n">
        <f aca="false">IF(K10=0,0,L10/K10)</f>
        <v>0.0190870261612387</v>
      </c>
      <c r="N10" s="3" t="n">
        <v>23</v>
      </c>
      <c r="O10" s="3" t="n">
        <v>7</v>
      </c>
      <c r="P10" s="3" t="n">
        <v>3</v>
      </c>
      <c r="Q10" s="5" t="n">
        <v>180000</v>
      </c>
      <c r="R10" s="8" t="n">
        <f aca="false">IF(J10=0,0,(Q10-J10)/J10)</f>
        <v>0</v>
      </c>
    </row>
    <row r="11" customFormat="false" ht="15" hidden="false" customHeight="false" outlineLevel="0" collapsed="false">
      <c r="A11" s="3" t="s">
        <v>57</v>
      </c>
      <c r="B11" s="3" t="s">
        <v>58</v>
      </c>
      <c r="C11" s="3" t="s">
        <v>59</v>
      </c>
      <c r="D11" s="3" t="s">
        <v>32</v>
      </c>
      <c r="E11" s="3" t="s">
        <v>22</v>
      </c>
      <c r="F11" s="3" t="s">
        <v>23</v>
      </c>
      <c r="G11" s="4" t="n">
        <v>46110</v>
      </c>
      <c r="H11" s="4" t="n">
        <v>46174</v>
      </c>
      <c r="I11" s="5" t="n">
        <v>150000</v>
      </c>
      <c r="J11" s="5" t="n">
        <v>127548</v>
      </c>
      <c r="K11" s="6" t="n">
        <v>521863</v>
      </c>
      <c r="L11" s="6" t="n">
        <v>18528</v>
      </c>
      <c r="M11" s="7" t="n">
        <f aca="false">IF(K11=0,0,L11/K11)</f>
        <v>0.0355035708605515</v>
      </c>
      <c r="N11" s="3" t="n">
        <v>1009</v>
      </c>
      <c r="O11" s="3" t="n">
        <v>497</v>
      </c>
      <c r="P11" s="3" t="n">
        <v>225</v>
      </c>
      <c r="Q11" s="5" t="n">
        <v>49500000</v>
      </c>
      <c r="R11" s="8" t="n">
        <f aca="false">IF(J11=0,0,(Q11-J11)/J11)</f>
        <v>387.089189952018</v>
      </c>
    </row>
    <row r="12" customFormat="false" ht="15" hidden="false" customHeight="false" outlineLevel="0" collapsed="false">
      <c r="A12" s="3" t="s">
        <v>60</v>
      </c>
      <c r="B12" s="3" t="s">
        <v>61</v>
      </c>
      <c r="C12" s="3" t="s">
        <v>62</v>
      </c>
      <c r="D12" s="3" t="s">
        <v>21</v>
      </c>
      <c r="E12" s="3" t="s">
        <v>33</v>
      </c>
      <c r="F12" s="3" t="s">
        <v>63</v>
      </c>
      <c r="G12" s="4" t="n">
        <v>46131</v>
      </c>
      <c r="H12" s="4" t="n">
        <v>46185</v>
      </c>
      <c r="I12" s="5" t="n">
        <v>8000</v>
      </c>
      <c r="J12" s="5" t="n">
        <v>3200</v>
      </c>
      <c r="K12" s="6" t="n">
        <v>13823</v>
      </c>
      <c r="L12" s="6" t="n">
        <v>220</v>
      </c>
      <c r="M12" s="7" t="n">
        <f aca="false">IF(K12=0,0,L12/K12)</f>
        <v>0.015915503146929</v>
      </c>
      <c r="N12" s="3" t="n">
        <v>14</v>
      </c>
      <c r="O12" s="3" t="n">
        <v>7</v>
      </c>
      <c r="P12" s="3" t="n">
        <v>2</v>
      </c>
      <c r="Q12" s="5" t="n">
        <v>120000</v>
      </c>
      <c r="R12" s="8" t="n">
        <f aca="false">IF(J12=0,0,(Q12-J12)/J12)</f>
        <v>36.5</v>
      </c>
    </row>
    <row r="13" customFormat="false" ht="15" hidden="false" customHeight="false" outlineLevel="0" collapsed="false">
      <c r="A13" s="3" t="s">
        <v>64</v>
      </c>
      <c r="B13" s="3" t="s">
        <v>65</v>
      </c>
      <c r="C13" s="3" t="s">
        <v>66</v>
      </c>
      <c r="D13" s="3" t="s">
        <v>32</v>
      </c>
      <c r="E13" s="3" t="s">
        <v>28</v>
      </c>
      <c r="F13" s="3" t="s">
        <v>34</v>
      </c>
      <c r="G13" s="4" t="n">
        <v>46101</v>
      </c>
      <c r="H13" s="4" t="n">
        <v>46172</v>
      </c>
      <c r="I13" s="5" t="n">
        <v>8000</v>
      </c>
      <c r="J13" s="5" t="n">
        <v>5311</v>
      </c>
      <c r="K13" s="6" t="n">
        <v>168585</v>
      </c>
      <c r="L13" s="6" t="n">
        <v>1462</v>
      </c>
      <c r="M13" s="7" t="n">
        <f aca="false">IF(K13=0,0,L13/K13)</f>
        <v>0.00867218317169381</v>
      </c>
      <c r="N13" s="3" t="n">
        <v>76</v>
      </c>
      <c r="O13" s="3" t="n">
        <v>28</v>
      </c>
      <c r="P13" s="3" t="n">
        <v>9</v>
      </c>
      <c r="Q13" s="5" t="n">
        <v>540000</v>
      </c>
      <c r="R13" s="8" t="n">
        <f aca="false">IF(J13=0,0,(Q13-J13)/J13)</f>
        <v>100.675767275466</v>
      </c>
    </row>
    <row r="14" customFormat="false" ht="15" hidden="false" customHeight="false" outlineLevel="0" collapsed="false">
      <c r="A14" s="3" t="s">
        <v>67</v>
      </c>
      <c r="B14" s="3" t="s">
        <v>68</v>
      </c>
      <c r="C14" s="3" t="s">
        <v>69</v>
      </c>
      <c r="D14" s="3" t="s">
        <v>32</v>
      </c>
      <c r="E14" s="3" t="s">
        <v>33</v>
      </c>
      <c r="F14" s="3" t="s">
        <v>34</v>
      </c>
      <c r="G14" s="4" t="n">
        <v>46043</v>
      </c>
      <c r="H14" s="4" t="n">
        <v>46102</v>
      </c>
      <c r="I14" s="5" t="n">
        <v>90000</v>
      </c>
      <c r="J14" s="5" t="n">
        <v>67138</v>
      </c>
      <c r="K14" s="6" t="n">
        <v>2420659</v>
      </c>
      <c r="L14" s="6" t="n">
        <v>69833</v>
      </c>
      <c r="M14" s="7" t="n">
        <f aca="false">IF(K14=0,0,L14/K14)</f>
        <v>0.0288487556487717</v>
      </c>
      <c r="N14" s="3" t="n">
        <v>5098</v>
      </c>
      <c r="O14" s="3" t="n">
        <v>1512</v>
      </c>
      <c r="P14" s="3" t="n">
        <v>645</v>
      </c>
      <c r="Q14" s="5" t="n">
        <v>22575000</v>
      </c>
      <c r="R14" s="8" t="n">
        <f aca="false">IF(J14=0,0,(Q14-J14)/J14)</f>
        <v>335.247728559087</v>
      </c>
    </row>
    <row r="15" customFormat="false" ht="15" hidden="false" customHeight="false" outlineLevel="0" collapsed="false">
      <c r="A15" s="3" t="s">
        <v>70</v>
      </c>
      <c r="B15" s="3" t="s">
        <v>71</v>
      </c>
      <c r="C15" s="3" t="s">
        <v>31</v>
      </c>
      <c r="D15" s="3" t="s">
        <v>27</v>
      </c>
      <c r="E15" s="3" t="s">
        <v>22</v>
      </c>
      <c r="F15" s="3" t="s">
        <v>34</v>
      </c>
      <c r="G15" s="4" t="n">
        <v>46117</v>
      </c>
      <c r="H15" s="4" t="n">
        <v>46171</v>
      </c>
      <c r="I15" s="5" t="n">
        <v>40000</v>
      </c>
      <c r="J15" s="5" t="n">
        <v>35915</v>
      </c>
      <c r="K15" s="6" t="n">
        <v>2077012</v>
      </c>
      <c r="L15" s="6" t="n">
        <v>60821</v>
      </c>
      <c r="M15" s="7" t="n">
        <f aca="false">IF(K15=0,0,L15/K15)</f>
        <v>0.0292829314418983</v>
      </c>
      <c r="N15" s="3" t="n">
        <v>2728</v>
      </c>
      <c r="O15" s="3" t="n">
        <v>858</v>
      </c>
      <c r="P15" s="3" t="n">
        <v>303</v>
      </c>
      <c r="Q15" s="5" t="n">
        <v>27270000</v>
      </c>
      <c r="R15" s="8" t="n">
        <f aca="false">IF(J15=0,0,(Q15-J15)/J15)</f>
        <v>758.29277460671</v>
      </c>
    </row>
    <row r="16" customFormat="false" ht="15" hidden="false" customHeight="false" outlineLevel="0" collapsed="false">
      <c r="A16" s="3" t="s">
        <v>72</v>
      </c>
      <c r="B16" s="3" t="s">
        <v>73</v>
      </c>
      <c r="C16" s="3" t="s">
        <v>51</v>
      </c>
      <c r="D16" s="3" t="s">
        <v>21</v>
      </c>
      <c r="E16" s="3" t="s">
        <v>28</v>
      </c>
      <c r="F16" s="3" t="s">
        <v>34</v>
      </c>
      <c r="G16" s="4" t="n">
        <v>46027</v>
      </c>
      <c r="H16" s="4" t="n">
        <v>46061</v>
      </c>
      <c r="I16" s="5" t="n">
        <v>25000</v>
      </c>
      <c r="J16" s="5" t="n">
        <v>22630</v>
      </c>
      <c r="K16" s="6" t="n">
        <v>2081085</v>
      </c>
      <c r="L16" s="6" t="n">
        <v>54269</v>
      </c>
      <c r="M16" s="7" t="n">
        <f aca="false">IF(K16=0,0,L16/K16)</f>
        <v>0.0260772625817783</v>
      </c>
      <c r="N16" s="3" t="n">
        <v>2090</v>
      </c>
      <c r="O16" s="3" t="n">
        <v>661</v>
      </c>
      <c r="P16" s="3" t="n">
        <v>327</v>
      </c>
      <c r="Q16" s="5" t="n">
        <v>11445000</v>
      </c>
      <c r="R16" s="8" t="n">
        <f aca="false">IF(J16=0,0,(Q16-J16)/J16)</f>
        <v>504.744586831639</v>
      </c>
    </row>
    <row r="17" customFormat="false" ht="15" hidden="false" customHeight="false" outlineLevel="0" collapsed="false">
      <c r="A17" s="3" t="s">
        <v>74</v>
      </c>
      <c r="B17" s="3" t="s">
        <v>75</v>
      </c>
      <c r="C17" s="3" t="s">
        <v>31</v>
      </c>
      <c r="D17" s="3" t="s">
        <v>32</v>
      </c>
      <c r="E17" s="3" t="s">
        <v>33</v>
      </c>
      <c r="F17" s="3" t="s">
        <v>23</v>
      </c>
      <c r="G17" s="4" t="n">
        <v>46136</v>
      </c>
      <c r="H17" s="4" t="n">
        <v>46182</v>
      </c>
      <c r="I17" s="5" t="n">
        <v>25000</v>
      </c>
      <c r="J17" s="5" t="n">
        <v>25635</v>
      </c>
      <c r="K17" s="6" t="n">
        <v>615604</v>
      </c>
      <c r="L17" s="6" t="n">
        <v>21895</v>
      </c>
      <c r="M17" s="7" t="n">
        <f aca="false">IF(K17=0,0,L17/K17)</f>
        <v>0.0355666954730639</v>
      </c>
      <c r="N17" s="3" t="n">
        <v>818</v>
      </c>
      <c r="O17" s="3" t="n">
        <v>234</v>
      </c>
      <c r="P17" s="3" t="n">
        <v>82</v>
      </c>
      <c r="Q17" s="5" t="n">
        <v>12300000</v>
      </c>
      <c r="R17" s="8" t="n">
        <f aca="false">IF(J17=0,0,(Q17-J17)/J17)</f>
        <v>478.812755997659</v>
      </c>
    </row>
    <row r="18" customFormat="false" ht="15" hidden="false" customHeight="false" outlineLevel="0" collapsed="false">
      <c r="A18" s="3" t="s">
        <v>76</v>
      </c>
      <c r="B18" s="3" t="s">
        <v>77</v>
      </c>
      <c r="C18" s="3" t="s">
        <v>26</v>
      </c>
      <c r="D18" s="3" t="s">
        <v>32</v>
      </c>
      <c r="E18" s="3" t="s">
        <v>28</v>
      </c>
      <c r="F18" s="3" t="s">
        <v>23</v>
      </c>
      <c r="G18" s="4" t="n">
        <v>46093</v>
      </c>
      <c r="H18" s="4" t="n">
        <v>46129</v>
      </c>
      <c r="I18" s="5" t="n">
        <v>40000</v>
      </c>
      <c r="J18" s="5" t="n">
        <v>33586</v>
      </c>
      <c r="K18" s="6" t="n">
        <v>17080</v>
      </c>
      <c r="L18" s="6" t="n">
        <v>427</v>
      </c>
      <c r="M18" s="7" t="n">
        <f aca="false">IF(K18=0,0,L18/K18)</f>
        <v>0.025</v>
      </c>
      <c r="N18" s="3" t="n">
        <v>30</v>
      </c>
      <c r="O18" s="3" t="n">
        <v>15</v>
      </c>
      <c r="P18" s="3" t="n">
        <v>3</v>
      </c>
      <c r="Q18" s="5" t="n">
        <v>105000</v>
      </c>
      <c r="R18" s="8" t="n">
        <f aca="false">IF(J18=0,0,(Q18-J18)/J18)</f>
        <v>2.12630262609421</v>
      </c>
    </row>
    <row r="19" customFormat="false" ht="15" hidden="false" customHeight="false" outlineLevel="0" collapsed="false">
      <c r="A19" s="3"/>
      <c r="B19" s="3"/>
      <c r="C19" s="3"/>
      <c r="D19" s="3"/>
      <c r="E19" s="3"/>
      <c r="F19" s="3"/>
      <c r="G19" s="4"/>
      <c r="H19" s="4"/>
      <c r="I19" s="5"/>
      <c r="J19" s="5"/>
      <c r="K19" s="6"/>
      <c r="L19" s="6"/>
      <c r="M19" s="7" t="n">
        <f aca="false">IF(K19=0,0,L19/K19)</f>
        <v>0</v>
      </c>
      <c r="N19" s="3"/>
      <c r="O19" s="3"/>
      <c r="P19" s="3"/>
      <c r="Q19" s="5"/>
      <c r="R19" s="8" t="n">
        <f aca="false">IF(J19=0,0,(Q19-J19)/J19)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LibreOffice/25.8.4.2$Linux_X86_64 LibreOffice_project/290daaa01b999472f0c7a3890eb6a550fd74c6df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2026-05-18T08:54:20Z</dcterms:created>
  <dc:creator>openpyxl</dc:creator>
  <dc:description/>
  <dc:language>en-US</dc:language>
  <cp:lastModifiedBy/>
  <dcterms:modified xsi:type="dcterms:W3CDTF">2026-05-18T08:54:20Z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