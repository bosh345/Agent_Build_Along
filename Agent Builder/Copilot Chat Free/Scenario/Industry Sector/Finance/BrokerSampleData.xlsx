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brianoshea_microsoft_com/Documents/"/>
    </mc:Choice>
  </mc:AlternateContent>
  <xr:revisionPtr revIDLastSave="19" documentId="8_{F23BB783-9667-4A0E-ABEA-C1DD221F739D}" xr6:coauthVersionLast="47" xr6:coauthVersionMax="47" xr10:uidLastSave="{03B31845-309A-4BD4-A564-3AC7B467F5BE}"/>
  <bookViews>
    <workbookView xWindow="-120" yWindow="-120" windowWidth="29040" windowHeight="15720" xr2:uid="{014B546B-B39B-4F85-8E9B-DF29D3474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</calcChain>
</file>

<file path=xl/sharedStrings.xml><?xml version="1.0" encoding="utf-8"?>
<sst xmlns="http://schemas.openxmlformats.org/spreadsheetml/2006/main" count="621" uniqueCount="264">
  <si>
    <t>Broker_ID</t>
  </si>
  <si>
    <t>Broker_Name</t>
  </si>
  <si>
    <t>Company</t>
  </si>
  <si>
    <t>Region</t>
  </si>
  <si>
    <t>Years_Experience</t>
  </si>
  <si>
    <t>Specialisation</t>
  </si>
  <si>
    <t>Policy_ID</t>
  </si>
  <si>
    <t>Client_Name</t>
  </si>
  <si>
    <t>Policy_Type</t>
  </si>
  <si>
    <t>Premium_Amount</t>
  </si>
  <si>
    <t>Commission_Rate</t>
  </si>
  <si>
    <t>Commission_Earned</t>
  </si>
  <si>
    <t>Policy_Status</t>
  </si>
  <si>
    <t>Start_Date</t>
  </si>
  <si>
    <t>Renewal_Date</t>
  </si>
  <si>
    <t>Coverage_Amount</t>
  </si>
  <si>
    <t>BRK001</t>
  </si>
  <si>
    <t>Liam Murphy</t>
  </si>
  <si>
    <t>Murphy &amp; Associates</t>
  </si>
  <si>
    <t>Dublin</t>
  </si>
  <si>
    <t>Life Insurance</t>
  </si>
  <si>
    <t>POL10001</t>
  </si>
  <si>
    <t>Acme Industries</t>
  </si>
  <si>
    <t>Active</t>
  </si>
  <si>
    <t>2024-01-01T00:00:00.000Z</t>
  </si>
  <si>
    <t>2025-01-01T00:00:00.000Z</t>
  </si>
  <si>
    <t>BRK002</t>
  </si>
  <si>
    <t>Emma Walsh</t>
  </si>
  <si>
    <t>Walsh Insurance Group</t>
  </si>
  <si>
    <t>Cork</t>
  </si>
  <si>
    <t>Health Insurance</t>
  </si>
  <si>
    <t>POL10002</t>
  </si>
  <si>
    <t>TechStart Ltd</t>
  </si>
  <si>
    <t>2024-02-04T00:00:00.000Z</t>
  </si>
  <si>
    <t>2025-02-04T00:00:00.000Z</t>
  </si>
  <si>
    <t>BRK003</t>
  </si>
  <si>
    <t>Sean Kelly</t>
  </si>
  <si>
    <t>Kelly Brokers Ltd</t>
  </si>
  <si>
    <t>Galway</t>
  </si>
  <si>
    <t>Commercial Property</t>
  </si>
  <si>
    <t>POL10003</t>
  </si>
  <si>
    <t>Green Energy Corp</t>
  </si>
  <si>
    <t>Auto Insurance</t>
  </si>
  <si>
    <t>2024-03-07T00:00:00.000Z</t>
  </si>
  <si>
    <t>2025-03-07T00:00:00.000Z</t>
  </si>
  <si>
    <t>BRK004</t>
  </si>
  <si>
    <t>Aoife Byrne</t>
  </si>
  <si>
    <t>Byrne Insurance Services</t>
  </si>
  <si>
    <t>Limerick</t>
  </si>
  <si>
    <t>POL10004</t>
  </si>
  <si>
    <t>Dublin Motors</t>
  </si>
  <si>
    <t>Home Insurance</t>
  </si>
  <si>
    <t>2024-04-09T23:00:00.000Z</t>
  </si>
  <si>
    <t>2025-04-09T23:00:00.000Z</t>
  </si>
  <si>
    <t>BRK005</t>
  </si>
  <si>
    <t>Conor Ryan</t>
  </si>
  <si>
    <t>Ryan &amp; Partners</t>
  </si>
  <si>
    <t>POL10005</t>
  </si>
  <si>
    <t>Celtic Foods</t>
  </si>
  <si>
    <t>2024-05-12T23:00:00.000Z</t>
  </si>
  <si>
    <t>2025-05-12T23:00:00.000Z</t>
  </si>
  <si>
    <t>BRK006</t>
  </si>
  <si>
    <t>Niamh O'Brien</t>
  </si>
  <si>
    <t>O'Brien Insurance</t>
  </si>
  <si>
    <t>Waterford</t>
  </si>
  <si>
    <t>POL10006</t>
  </si>
  <si>
    <t>Horizon Healthcare</t>
  </si>
  <si>
    <t>Commercial Liability</t>
  </si>
  <si>
    <t>2024-06-15T23:00:00.000Z</t>
  </si>
  <si>
    <t>2025-06-15T23:00:00.000Z</t>
  </si>
  <si>
    <t>BRK007</t>
  </si>
  <si>
    <t>Patrick Doyle</t>
  </si>
  <si>
    <t>Doyle Financial Services</t>
  </si>
  <si>
    <t>Belfast</t>
  </si>
  <si>
    <t>POL10007</t>
  </si>
  <si>
    <t>Maritime Solutions</t>
  </si>
  <si>
    <t>Travel Insurance</t>
  </si>
  <si>
    <t>2024-07-18T23:00:00.000Z</t>
  </si>
  <si>
    <t>2025-07-18T23:00:00.000Z</t>
  </si>
  <si>
    <t>BRK008</t>
  </si>
  <si>
    <t>Ciara McCarthy</t>
  </si>
  <si>
    <t>McCarthy Brokers</t>
  </si>
  <si>
    <t>POL10008</t>
  </si>
  <si>
    <t>Emerald Construction</t>
  </si>
  <si>
    <t>Business Interruption</t>
  </si>
  <si>
    <t>2024-08-21T23:00:00.000Z</t>
  </si>
  <si>
    <t>2025-08-21T23:00:00.000Z</t>
  </si>
  <si>
    <t>BRK009</t>
  </si>
  <si>
    <t>Declan Fitzgerald</t>
  </si>
  <si>
    <t>Fitzgerald Insurance</t>
  </si>
  <si>
    <t>POL10009</t>
  </si>
  <si>
    <t>Atlantic Retail</t>
  </si>
  <si>
    <t>2024-09-24T23:00:00.000Z</t>
  </si>
  <si>
    <t>2025-09-24T23:00:00.000Z</t>
  </si>
  <si>
    <t>BRK010</t>
  </si>
  <si>
    <t>Sinead O'Connor</t>
  </si>
  <si>
    <t>O'Connor &amp; Co</t>
  </si>
  <si>
    <t>POL10010</t>
  </si>
  <si>
    <t>Phoenix IT</t>
  </si>
  <si>
    <t>2024-10-28T00:00:00.000Z</t>
  </si>
  <si>
    <t>2025-10-28T00:00:00.000Z</t>
  </si>
  <si>
    <t>POL10011</t>
  </si>
  <si>
    <t>Silverstone Manufacturing</t>
  </si>
  <si>
    <t>2024-11-03T00:00:00.000Z</t>
  </si>
  <si>
    <t>2025-11-03T00:00:00.000Z</t>
  </si>
  <si>
    <t>POL10012</t>
  </si>
  <si>
    <t>Blue Sky Aviation</t>
  </si>
  <si>
    <t>2024-12-06T00:00:00.000Z</t>
  </si>
  <si>
    <t>2025-12-06T00:00:00.000Z</t>
  </si>
  <si>
    <t>POL10013</t>
  </si>
  <si>
    <t>Golden Harvest Farms</t>
  </si>
  <si>
    <t>2024-01-09T00:00:00.000Z</t>
  </si>
  <si>
    <t>2025-01-09T00:00:00.000Z</t>
  </si>
  <si>
    <t>POL10014</t>
  </si>
  <si>
    <t>Urban Developments</t>
  </si>
  <si>
    <t>2024-02-12T00:00:00.000Z</t>
  </si>
  <si>
    <t>2025-02-12T00:00:00.000Z</t>
  </si>
  <si>
    <t>POL10015</t>
  </si>
  <si>
    <t>Coastal Logistics</t>
  </si>
  <si>
    <t>2024-03-15T00:00:00.000Z</t>
  </si>
  <si>
    <t>2025-03-15T00:00:00.000Z</t>
  </si>
  <si>
    <t>POL10016</t>
  </si>
  <si>
    <t>Premier Hospitality</t>
  </si>
  <si>
    <t>2024-04-17T23:00:00.000Z</t>
  </si>
  <si>
    <t>2025-04-17T23:00:00.000Z</t>
  </si>
  <si>
    <t>POL10017</t>
  </si>
  <si>
    <t>Quantum Analytics</t>
  </si>
  <si>
    <t>2024-05-20T23:00:00.000Z</t>
  </si>
  <si>
    <t>2025-05-20T23:00:00.000Z</t>
  </si>
  <si>
    <t>POL10018</t>
  </si>
  <si>
    <t>Heritage Properties</t>
  </si>
  <si>
    <t>2024-06-23T23:00:00.000Z</t>
  </si>
  <si>
    <t>2025-06-23T23:00:00.000Z</t>
  </si>
  <si>
    <t>POL10019</t>
  </si>
  <si>
    <t>Swift Couriers</t>
  </si>
  <si>
    <t>2024-07-26T23:00:00.000Z</t>
  </si>
  <si>
    <t>2025-07-26T23:00:00.000Z</t>
  </si>
  <si>
    <t>POL10020</t>
  </si>
  <si>
    <t>Apex Consulting</t>
  </si>
  <si>
    <t>2024-08-01T23:00:00.000Z</t>
  </si>
  <si>
    <t>2025-08-01T23:00:00.000Z</t>
  </si>
  <si>
    <t>POL10021</t>
  </si>
  <si>
    <t>Sarah Mitchell</t>
  </si>
  <si>
    <t>2024-09-04T23:00:00.000Z</t>
  </si>
  <si>
    <t>2025-09-04T23:00:00.000Z</t>
  </si>
  <si>
    <t>POL10022</t>
  </si>
  <si>
    <t>James O'Neill</t>
  </si>
  <si>
    <t>2024-10-07T23:00:00.000Z</t>
  </si>
  <si>
    <t>2025-10-07T23:00:00.000Z</t>
  </si>
  <si>
    <t>POL10023</t>
  </si>
  <si>
    <t>Mary Gallagher</t>
  </si>
  <si>
    <t>2024-11-11T00:00:00.000Z</t>
  </si>
  <si>
    <t>2025-11-11T00:00:00.000Z</t>
  </si>
  <si>
    <t>POL10024</t>
  </si>
  <si>
    <t>Thomas Burke</t>
  </si>
  <si>
    <t>2024-12-14T00:00:00.000Z</t>
  </si>
  <si>
    <t>2025-12-14T00:00:00.000Z</t>
  </si>
  <si>
    <t>POL10025</t>
  </si>
  <si>
    <t>Catherine Hayes</t>
  </si>
  <si>
    <t>2024-01-17T00:00:00.000Z</t>
  </si>
  <si>
    <t>2025-01-17T00:00:00.000Z</t>
  </si>
  <si>
    <t>POL10026</t>
  </si>
  <si>
    <t>Michael Dempsey</t>
  </si>
  <si>
    <t>2024-02-20T00:00:00.000Z</t>
  </si>
  <si>
    <t>2025-02-20T00:00:00.000Z</t>
  </si>
  <si>
    <t>POL10027</t>
  </si>
  <si>
    <t>Laura Nolan</t>
  </si>
  <si>
    <t>2024-03-23T00:00:00.000Z</t>
  </si>
  <si>
    <t>2025-03-23T00:00:00.000Z</t>
  </si>
  <si>
    <t>POL10028</t>
  </si>
  <si>
    <t>David Keane</t>
  </si>
  <si>
    <t>2024-04-25T23:00:00.000Z</t>
  </si>
  <si>
    <t>2025-04-25T23:00:00.000Z</t>
  </si>
  <si>
    <t>POL10029</t>
  </si>
  <si>
    <t>Rachel Quinn</t>
  </si>
  <si>
    <t>Pending Renewal</t>
  </si>
  <si>
    <t>2024-04-30T23:00:00.000Z</t>
  </si>
  <si>
    <t>2025-04-30T23:00:00.000Z</t>
  </si>
  <si>
    <t>POL10030</t>
  </si>
  <si>
    <t>Kevin Brennan</t>
  </si>
  <si>
    <t>2024-06-03T23:00:00.000Z</t>
  </si>
  <si>
    <t>2025-06-03T23:00:00.000Z</t>
  </si>
  <si>
    <t>POL10031</t>
  </si>
  <si>
    <t>Fiona Duffy</t>
  </si>
  <si>
    <t>2025-07-06T23:00:00.000Z</t>
  </si>
  <si>
    <t>2026-07-06T23:00:00.000Z</t>
  </si>
  <si>
    <t>POL10032</t>
  </si>
  <si>
    <t>Robert Healy</t>
  </si>
  <si>
    <t>2025-08-09T23:00:00.000Z</t>
  </si>
  <si>
    <t>2026-08-09T23:00:00.000Z</t>
  </si>
  <si>
    <t>POL10033</t>
  </si>
  <si>
    <t>Aisling Moran</t>
  </si>
  <si>
    <t>2025-09-12T23:00:00.000Z</t>
  </si>
  <si>
    <t>2026-09-12T23:00:00.000Z</t>
  </si>
  <si>
    <t>POL10034</t>
  </si>
  <si>
    <t>Paul Sheridan</t>
  </si>
  <si>
    <t>2025-10-15T23:00:00.000Z</t>
  </si>
  <si>
    <t>2026-10-15T23:00:00.000Z</t>
  </si>
  <si>
    <t>POL10035</t>
  </si>
  <si>
    <t>Grainne Reilly</t>
  </si>
  <si>
    <t>2025-11-19T00:00:00.000Z</t>
  </si>
  <si>
    <t>2026-11-19T00:00:00.000Z</t>
  </si>
  <si>
    <t>POL10036</t>
  </si>
  <si>
    <t>2025-12-22T00:00:00.000Z</t>
  </si>
  <si>
    <t>2026-12-22T00:00:00.000Z</t>
  </si>
  <si>
    <t>POL10037</t>
  </si>
  <si>
    <t>2025-01-25T00:00:00.000Z</t>
  </si>
  <si>
    <t>2026-01-25T00:00:00.000Z</t>
  </si>
  <si>
    <t>POL10038</t>
  </si>
  <si>
    <t>2025-02-28T00:00:00.000Z</t>
  </si>
  <si>
    <t>2026-02-28T00:00:00.000Z</t>
  </si>
  <si>
    <t>POL10039</t>
  </si>
  <si>
    <t>2025-03-03T00:00:00.000Z</t>
  </si>
  <si>
    <t>2026-03-03T00:00:00.000Z</t>
  </si>
  <si>
    <t>POL10040</t>
  </si>
  <si>
    <t>2025-04-05T23:00:00.000Z</t>
  </si>
  <si>
    <t>2026-04-05T23:00:00.000Z</t>
  </si>
  <si>
    <t>POL10041</t>
  </si>
  <si>
    <t>2025-05-08T23:00:00.000Z</t>
  </si>
  <si>
    <t>2026-05-08T23:00:00.000Z</t>
  </si>
  <si>
    <t>POL10042</t>
  </si>
  <si>
    <t>2025-06-11T23:00:00.000Z</t>
  </si>
  <si>
    <t>2026-06-11T23:00:00.000Z</t>
  </si>
  <si>
    <t>POL10043</t>
  </si>
  <si>
    <t>Lapsed</t>
  </si>
  <si>
    <t>2025-07-14T23:00:00.000Z</t>
  </si>
  <si>
    <t>2026-07-14T23:00:00.000Z</t>
  </si>
  <si>
    <t>POL10044</t>
  </si>
  <si>
    <t>2025-08-17T23:00:00.000Z</t>
  </si>
  <si>
    <t>2026-08-17T23:00:00.000Z</t>
  </si>
  <si>
    <t>POL10045</t>
  </si>
  <si>
    <t>2025-09-20T23:00:00.000Z</t>
  </si>
  <si>
    <t>2026-09-20T23:00:00.000Z</t>
  </si>
  <si>
    <t>POL10046</t>
  </si>
  <si>
    <t>2025-10-23T23:00:00.000Z</t>
  </si>
  <si>
    <t>2026-10-23T23:00:00.000Z</t>
  </si>
  <si>
    <t>POL10047</t>
  </si>
  <si>
    <t>2025-11-27T00:00:00.000Z</t>
  </si>
  <si>
    <t>2026-11-27T00:00:00.000Z</t>
  </si>
  <si>
    <t>POL10048</t>
  </si>
  <si>
    <t>2025-12-02T00:00:00.000Z</t>
  </si>
  <si>
    <t>2026-12-02T00:00:00.000Z</t>
  </si>
  <si>
    <t>POL10049</t>
  </si>
  <si>
    <t>2025-01-05T00:00:00.000Z</t>
  </si>
  <si>
    <t>2026-01-05T00:00:00.000Z</t>
  </si>
  <si>
    <t>POL10050</t>
  </si>
  <si>
    <t>Cancelled</t>
  </si>
  <si>
    <t>2025-02-08T00:00:00.000Z</t>
  </si>
  <si>
    <t>2026-02-08T00:00:00.000Z</t>
  </si>
  <si>
    <t>POL10051</t>
  </si>
  <si>
    <t>2025-03-11T00:00:00.000Z</t>
  </si>
  <si>
    <t>2026-03-11T00:00:00.000Z</t>
  </si>
  <si>
    <t>POL10052</t>
  </si>
  <si>
    <t>2025-04-13T23:00:00.000Z</t>
  </si>
  <si>
    <t>2026-04-13T23:00:00.000Z</t>
  </si>
  <si>
    <t>POL10053</t>
  </si>
  <si>
    <t>2025-05-16T23:00:00.000Z</t>
  </si>
  <si>
    <t>2026-05-16T23:00:00.000Z</t>
  </si>
  <si>
    <t>POL10054</t>
  </si>
  <si>
    <t>2025-06-19T23:00:00.000Z</t>
  </si>
  <si>
    <t>2026-06-19T23:00:00.000Z</t>
  </si>
  <si>
    <t>POL10055</t>
  </si>
  <si>
    <t>2025-07-22T23:00:00.000Z</t>
  </si>
  <si>
    <t>2026-07-22T23:00:00.000Z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</si>
</sst>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.00"/>
    <numFmt numFmtId="165" formatCode="0.0%"/>
    <numFmt numFmtId="166" formatCode="dd\-mmm\-yyyy"/>
    <numFmt numFmtId="167" formatCode="\€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1" xfId="0" applyFont="1" applyFill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E094-DB41-46A8-B1A1-70658FBDD786}">
  <dimension ref="A1:P56"/>
  <sheetViews>
    <sheetView tabSelected="1" workbookViewId="0"/>
  </sheetViews>
  <sheetFormatPr defaultRowHeight="15" x14ac:dyDescent="0.25"/>
  <cols>
    <col min="1" max="1" width="9.7109375" bestFit="1" customWidth="1"/>
    <col min="2" max="2" width="16.28515625" bestFit="1" customWidth="1"/>
    <col min="3" max="3" width="23.140625" bestFit="1" customWidth="1"/>
    <col min="4" max="4" width="9.7109375" bestFit="1" customWidth="1"/>
    <col min="5" max="5" width="17.28515625" bestFit="1" customWidth="1"/>
    <col min="6" max="6" width="19.7109375" bestFit="1" customWidth="1"/>
    <col min="7" max="7" width="9.42578125" bestFit="1" customWidth="1"/>
    <col min="8" max="8" width="24.28515625" bestFit="1" customWidth="1"/>
    <col min="9" max="9" width="20.140625" bestFit="1" customWidth="1"/>
    <col min="10" max="10" width="17.28515625" bestFit="1" customWidth="1"/>
    <col min="11" max="11" width="17.7109375" bestFit="1" customWidth="1"/>
    <col min="12" max="12" width="19.85546875" bestFit="1" customWidth="1"/>
    <col min="13" max="13" width="16.140625" bestFit="1" customWidth="1"/>
    <col min="14" max="15" width="23.5703125" bestFit="1" customWidth="1"/>
    <col min="16" max="16" width="17.7109375" bestFit="1" customWidth="1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12</v>
      </c>
      <c r="F2" s="1" t="s">
        <v>20</v>
      </c>
      <c r="G2" s="1" t="s">
        <v>21</v>
      </c>
      <c r="H2" s="1" t="s">
        <v>22</v>
      </c>
      <c r="I2" s="1" t="s">
        <v>20</v>
      </c>
      <c r="J2" s="2">
        <v>1200</v>
      </c>
      <c r="K2" s="3">
        <v>0.08</v>
      </c>
      <c r="L2" s="2">
        <f>J2*K2</f>
        <v>96</v>
      </c>
      <c r="M2" s="1" t="s">
        <v>23</v>
      </c>
      <c r="N2" s="4" t="s">
        <v>24</v>
      </c>
      <c r="O2" s="4" t="s">
        <v>25</v>
      </c>
      <c r="P2" s="6">
        <v>120000</v>
      </c>
    </row>
    <row r="3" spans="1:16" x14ac:dyDescent="0.25">
      <c r="A3" s="1" t="s">
        <v>26</v>
      </c>
      <c r="B3" s="1" t="s">
        <v>27</v>
      </c>
      <c r="C3" s="1" t="s">
        <v>28</v>
      </c>
      <c r="D3" s="1" t="s">
        <v>29</v>
      </c>
      <c r="E3" s="1">
        <v>8</v>
      </c>
      <c r="F3" s="1" t="s">
        <v>30</v>
      </c>
      <c r="G3" s="1" t="s">
        <v>31</v>
      </c>
      <c r="H3" s="1" t="s">
        <v>32</v>
      </c>
      <c r="I3" s="1" t="s">
        <v>30</v>
      </c>
      <c r="J3" s="2">
        <v>831</v>
      </c>
      <c r="K3" s="3">
        <v>0.09</v>
      </c>
      <c r="L3" s="2">
        <f>J3*K3</f>
        <v>74.789999999999992</v>
      </c>
      <c r="M3" s="1" t="s">
        <v>23</v>
      </c>
      <c r="N3" s="4" t="s">
        <v>33</v>
      </c>
      <c r="O3" s="4" t="s">
        <v>34</v>
      </c>
      <c r="P3" s="6">
        <v>16620</v>
      </c>
    </row>
    <row r="4" spans="1:16" x14ac:dyDescent="0.25">
      <c r="A4" s="1" t="s">
        <v>35</v>
      </c>
      <c r="B4" s="1" t="s">
        <v>36</v>
      </c>
      <c r="C4" s="1" t="s">
        <v>37</v>
      </c>
      <c r="D4" s="1" t="s">
        <v>38</v>
      </c>
      <c r="E4" s="1">
        <v>15</v>
      </c>
      <c r="F4" s="1" t="s">
        <v>39</v>
      </c>
      <c r="G4" s="1" t="s">
        <v>40</v>
      </c>
      <c r="H4" s="1" t="s">
        <v>41</v>
      </c>
      <c r="I4" s="1" t="s">
        <v>42</v>
      </c>
      <c r="J4" s="2">
        <v>646</v>
      </c>
      <c r="K4" s="3">
        <v>0.1</v>
      </c>
      <c r="L4" s="2">
        <f>J4*K4</f>
        <v>64.600000000000009</v>
      </c>
      <c r="M4" s="1" t="s">
        <v>23</v>
      </c>
      <c r="N4" s="4" t="s">
        <v>43</v>
      </c>
      <c r="O4" s="4" t="s">
        <v>44</v>
      </c>
      <c r="P4" s="6">
        <v>12920</v>
      </c>
    </row>
    <row r="5" spans="1:16" x14ac:dyDescent="0.25">
      <c r="A5" s="1" t="s">
        <v>45</v>
      </c>
      <c r="B5" s="1" t="s">
        <v>46</v>
      </c>
      <c r="C5" s="1" t="s">
        <v>47</v>
      </c>
      <c r="D5" s="1" t="s">
        <v>48</v>
      </c>
      <c r="E5" s="1">
        <v>6</v>
      </c>
      <c r="F5" s="1" t="s">
        <v>42</v>
      </c>
      <c r="G5" s="1" t="s">
        <v>49</v>
      </c>
      <c r="H5" s="1" t="s">
        <v>50</v>
      </c>
      <c r="I5" s="1" t="s">
        <v>51</v>
      </c>
      <c r="J5" s="2">
        <v>1011</v>
      </c>
      <c r="K5" s="3">
        <v>0.11</v>
      </c>
      <c r="L5" s="2">
        <f>J5*K5</f>
        <v>111.21</v>
      </c>
      <c r="M5" s="1" t="s">
        <v>23</v>
      </c>
      <c r="N5" s="4" t="s">
        <v>52</v>
      </c>
      <c r="O5" s="4" t="s">
        <v>53</v>
      </c>
      <c r="P5" s="6">
        <v>20220</v>
      </c>
    </row>
    <row r="6" spans="1:16" x14ac:dyDescent="0.25">
      <c r="A6" s="1" t="s">
        <v>54</v>
      </c>
      <c r="B6" s="1" t="s">
        <v>55</v>
      </c>
      <c r="C6" s="1" t="s">
        <v>56</v>
      </c>
      <c r="D6" s="1" t="s">
        <v>19</v>
      </c>
      <c r="E6" s="1">
        <v>10</v>
      </c>
      <c r="F6" s="1" t="s">
        <v>20</v>
      </c>
      <c r="G6" s="1" t="s">
        <v>57</v>
      </c>
      <c r="H6" s="1" t="s">
        <v>58</v>
      </c>
      <c r="I6" s="1" t="s">
        <v>39</v>
      </c>
      <c r="J6" s="2">
        <v>5356</v>
      </c>
      <c r="K6" s="3">
        <v>0.16</v>
      </c>
      <c r="L6" s="2">
        <f>J6*K6</f>
        <v>856.96</v>
      </c>
      <c r="M6" s="1" t="s">
        <v>23</v>
      </c>
      <c r="N6" s="4" t="s">
        <v>59</v>
      </c>
      <c r="O6" s="4" t="s">
        <v>60</v>
      </c>
      <c r="P6" s="6">
        <v>267800</v>
      </c>
    </row>
    <row r="7" spans="1:16" x14ac:dyDescent="0.25">
      <c r="A7" s="1" t="s">
        <v>61</v>
      </c>
      <c r="B7" s="1" t="s">
        <v>62</v>
      </c>
      <c r="C7" s="1" t="s">
        <v>63</v>
      </c>
      <c r="D7" s="1" t="s">
        <v>64</v>
      </c>
      <c r="E7" s="1">
        <v>4</v>
      </c>
      <c r="F7" s="1" t="s">
        <v>51</v>
      </c>
      <c r="G7" s="1" t="s">
        <v>65</v>
      </c>
      <c r="H7" s="1" t="s">
        <v>66</v>
      </c>
      <c r="I7" s="1" t="s">
        <v>67</v>
      </c>
      <c r="J7" s="2">
        <v>3335</v>
      </c>
      <c r="K7" s="3">
        <v>0.12</v>
      </c>
      <c r="L7" s="2">
        <f>J7*K7</f>
        <v>400.2</v>
      </c>
      <c r="M7" s="1" t="s">
        <v>23</v>
      </c>
      <c r="N7" s="4" t="s">
        <v>68</v>
      </c>
      <c r="O7" s="4" t="s">
        <v>69</v>
      </c>
      <c r="P7" s="6">
        <v>166750</v>
      </c>
    </row>
    <row r="8" spans="1:16" x14ac:dyDescent="0.25">
      <c r="A8" s="1" t="s">
        <v>70</v>
      </c>
      <c r="B8" s="1" t="s">
        <v>71</v>
      </c>
      <c r="C8" s="1" t="s">
        <v>72</v>
      </c>
      <c r="D8" s="1" t="s">
        <v>73</v>
      </c>
      <c r="E8" s="1">
        <v>18</v>
      </c>
      <c r="F8" s="1" t="s">
        <v>67</v>
      </c>
      <c r="G8" s="1" t="s">
        <v>74</v>
      </c>
      <c r="H8" s="1" t="s">
        <v>75</v>
      </c>
      <c r="I8" s="1" t="s">
        <v>76</v>
      </c>
      <c r="J8" s="2">
        <v>266</v>
      </c>
      <c r="K8" s="3">
        <v>0.09</v>
      </c>
      <c r="L8" s="2">
        <f>J8*K8</f>
        <v>23.939999999999998</v>
      </c>
      <c r="M8" s="1" t="s">
        <v>23</v>
      </c>
      <c r="N8" s="4" t="s">
        <v>77</v>
      </c>
      <c r="O8" s="4" t="s">
        <v>78</v>
      </c>
      <c r="P8" s="6">
        <v>5320</v>
      </c>
    </row>
    <row r="9" spans="1:16" x14ac:dyDescent="0.25">
      <c r="A9" s="1" t="s">
        <v>79</v>
      </c>
      <c r="B9" s="1" t="s">
        <v>80</v>
      </c>
      <c r="C9" s="1" t="s">
        <v>81</v>
      </c>
      <c r="D9" s="1" t="s">
        <v>29</v>
      </c>
      <c r="E9" s="1">
        <v>9</v>
      </c>
      <c r="F9" s="1" t="s">
        <v>30</v>
      </c>
      <c r="G9" s="1" t="s">
        <v>82</v>
      </c>
      <c r="H9" s="1" t="s">
        <v>83</v>
      </c>
      <c r="I9" s="1" t="s">
        <v>84</v>
      </c>
      <c r="J9" s="2">
        <v>4511</v>
      </c>
      <c r="K9" s="3">
        <v>0.1</v>
      </c>
      <c r="L9" s="2">
        <f>J9*K9</f>
        <v>451.1</v>
      </c>
      <c r="M9" s="1" t="s">
        <v>23</v>
      </c>
      <c r="N9" s="4" t="s">
        <v>85</v>
      </c>
      <c r="O9" s="4" t="s">
        <v>86</v>
      </c>
      <c r="P9" s="6">
        <v>90220</v>
      </c>
    </row>
    <row r="10" spans="1:16" x14ac:dyDescent="0.25">
      <c r="A10" s="1" t="s">
        <v>87</v>
      </c>
      <c r="B10" s="1" t="s">
        <v>88</v>
      </c>
      <c r="C10" s="1" t="s">
        <v>89</v>
      </c>
      <c r="D10" s="1" t="s">
        <v>19</v>
      </c>
      <c r="E10" s="1">
        <v>7</v>
      </c>
      <c r="F10" s="1" t="s">
        <v>42</v>
      </c>
      <c r="G10" s="1" t="s">
        <v>90</v>
      </c>
      <c r="H10" s="1" t="s">
        <v>91</v>
      </c>
      <c r="I10" s="1" t="s">
        <v>20</v>
      </c>
      <c r="J10" s="2">
        <v>1576</v>
      </c>
      <c r="K10" s="3">
        <v>0.11</v>
      </c>
      <c r="L10" s="2">
        <f>J10*K10</f>
        <v>173.36</v>
      </c>
      <c r="M10" s="1" t="s">
        <v>23</v>
      </c>
      <c r="N10" s="4" t="s">
        <v>92</v>
      </c>
      <c r="O10" s="4" t="s">
        <v>93</v>
      </c>
      <c r="P10" s="6">
        <v>157600</v>
      </c>
    </row>
    <row r="11" spans="1:16" x14ac:dyDescent="0.25">
      <c r="A11" s="1" t="s">
        <v>94</v>
      </c>
      <c r="B11" s="1" t="s">
        <v>95</v>
      </c>
      <c r="C11" s="1" t="s">
        <v>96</v>
      </c>
      <c r="D11" s="1" t="s">
        <v>38</v>
      </c>
      <c r="E11" s="1">
        <v>11</v>
      </c>
      <c r="F11" s="1" t="s">
        <v>20</v>
      </c>
      <c r="G11" s="1" t="s">
        <v>97</v>
      </c>
      <c r="H11" s="1" t="s">
        <v>98</v>
      </c>
      <c r="I11" s="1" t="s">
        <v>30</v>
      </c>
      <c r="J11" s="2">
        <v>1079</v>
      </c>
      <c r="K11" s="3">
        <v>0.12</v>
      </c>
      <c r="L11" s="2">
        <f>J11*K11</f>
        <v>129.47999999999999</v>
      </c>
      <c r="M11" s="1" t="s">
        <v>23</v>
      </c>
      <c r="N11" s="4" t="s">
        <v>99</v>
      </c>
      <c r="O11" s="4" t="s">
        <v>100</v>
      </c>
      <c r="P11" s="6">
        <v>21580</v>
      </c>
    </row>
    <row r="12" spans="1:16" x14ac:dyDescent="0.25">
      <c r="A12" s="1" t="s">
        <v>16</v>
      </c>
      <c r="B12" s="1" t="s">
        <v>17</v>
      </c>
      <c r="C12" s="1" t="s">
        <v>18</v>
      </c>
      <c r="D12" s="1" t="s">
        <v>19</v>
      </c>
      <c r="E12" s="1">
        <v>12</v>
      </c>
      <c r="F12" s="1" t="s">
        <v>20</v>
      </c>
      <c r="G12" s="1" t="s">
        <v>101</v>
      </c>
      <c r="H12" s="1" t="s">
        <v>102</v>
      </c>
      <c r="I12" s="1" t="s">
        <v>42</v>
      </c>
      <c r="J12" s="2">
        <v>830</v>
      </c>
      <c r="K12" s="3">
        <v>0.08</v>
      </c>
      <c r="L12" s="2">
        <f>J12*K12</f>
        <v>66.400000000000006</v>
      </c>
      <c r="M12" s="1" t="s">
        <v>23</v>
      </c>
      <c r="N12" s="4" t="s">
        <v>103</v>
      </c>
      <c r="O12" s="4" t="s">
        <v>104</v>
      </c>
      <c r="P12" s="6">
        <v>16600</v>
      </c>
    </row>
    <row r="13" spans="1:16" x14ac:dyDescent="0.25">
      <c r="A13" s="1" t="s">
        <v>26</v>
      </c>
      <c r="B13" s="1" t="s">
        <v>27</v>
      </c>
      <c r="C13" s="1" t="s">
        <v>28</v>
      </c>
      <c r="D13" s="1" t="s">
        <v>29</v>
      </c>
      <c r="E13" s="1">
        <v>8</v>
      </c>
      <c r="F13" s="1" t="s">
        <v>30</v>
      </c>
      <c r="G13" s="1" t="s">
        <v>105</v>
      </c>
      <c r="H13" s="1" t="s">
        <v>106</v>
      </c>
      <c r="I13" s="1" t="s">
        <v>51</v>
      </c>
      <c r="J13" s="2">
        <v>1307</v>
      </c>
      <c r="K13" s="3">
        <v>0.09</v>
      </c>
      <c r="L13" s="2">
        <f>J13*K13</f>
        <v>117.63</v>
      </c>
      <c r="M13" s="1" t="s">
        <v>23</v>
      </c>
      <c r="N13" s="4" t="s">
        <v>107</v>
      </c>
      <c r="O13" s="4" t="s">
        <v>108</v>
      </c>
      <c r="P13" s="6">
        <v>26140</v>
      </c>
    </row>
    <row r="14" spans="1:16" x14ac:dyDescent="0.25">
      <c r="A14" s="1" t="s">
        <v>35</v>
      </c>
      <c r="B14" s="1" t="s">
        <v>36</v>
      </c>
      <c r="C14" s="1" t="s">
        <v>37</v>
      </c>
      <c r="D14" s="1" t="s">
        <v>38</v>
      </c>
      <c r="E14" s="1">
        <v>15</v>
      </c>
      <c r="F14" s="1" t="s">
        <v>39</v>
      </c>
      <c r="G14" s="1" t="s">
        <v>109</v>
      </c>
      <c r="H14" s="1" t="s">
        <v>110</v>
      </c>
      <c r="I14" s="1" t="s">
        <v>39</v>
      </c>
      <c r="J14" s="2">
        <v>6068</v>
      </c>
      <c r="K14" s="3">
        <v>0.13999999999999999</v>
      </c>
      <c r="L14" s="2">
        <f>J14*K14</f>
        <v>849.51999999999987</v>
      </c>
      <c r="M14" s="1" t="s">
        <v>23</v>
      </c>
      <c r="N14" s="4" t="s">
        <v>111</v>
      </c>
      <c r="O14" s="4" t="s">
        <v>112</v>
      </c>
      <c r="P14" s="6">
        <v>303400</v>
      </c>
    </row>
    <row r="15" spans="1:16" x14ac:dyDescent="0.25">
      <c r="A15" s="1" t="s">
        <v>45</v>
      </c>
      <c r="B15" s="1" t="s">
        <v>46</v>
      </c>
      <c r="C15" s="1" t="s">
        <v>47</v>
      </c>
      <c r="D15" s="1" t="s">
        <v>48</v>
      </c>
      <c r="E15" s="1">
        <v>6</v>
      </c>
      <c r="F15" s="1" t="s">
        <v>42</v>
      </c>
      <c r="G15" s="1" t="s">
        <v>113</v>
      </c>
      <c r="H15" s="1" t="s">
        <v>114</v>
      </c>
      <c r="I15" s="1" t="s">
        <v>67</v>
      </c>
      <c r="J15" s="2">
        <v>3871</v>
      </c>
      <c r="K15" s="3">
        <v>0.15</v>
      </c>
      <c r="L15" s="2">
        <f>J15*K15</f>
        <v>580.65</v>
      </c>
      <c r="M15" s="1" t="s">
        <v>23</v>
      </c>
      <c r="N15" s="4" t="s">
        <v>115</v>
      </c>
      <c r="O15" s="4" t="s">
        <v>116</v>
      </c>
      <c r="P15" s="6">
        <v>193550</v>
      </c>
    </row>
    <row r="16" spans="1:16" x14ac:dyDescent="0.25">
      <c r="A16" s="1" t="s">
        <v>54</v>
      </c>
      <c r="B16" s="1" t="s">
        <v>55</v>
      </c>
      <c r="C16" s="1" t="s">
        <v>56</v>
      </c>
      <c r="D16" s="1" t="s">
        <v>19</v>
      </c>
      <c r="E16" s="1">
        <v>10</v>
      </c>
      <c r="F16" s="1" t="s">
        <v>20</v>
      </c>
      <c r="G16" s="1" t="s">
        <v>117</v>
      </c>
      <c r="H16" s="1" t="s">
        <v>118</v>
      </c>
      <c r="I16" s="1" t="s">
        <v>76</v>
      </c>
      <c r="J16" s="2">
        <v>354</v>
      </c>
      <c r="K16" s="3">
        <v>0.12</v>
      </c>
      <c r="L16" s="2">
        <f>J16*K16</f>
        <v>42.48</v>
      </c>
      <c r="M16" s="1" t="s">
        <v>23</v>
      </c>
      <c r="N16" s="4" t="s">
        <v>119</v>
      </c>
      <c r="O16" s="4" t="s">
        <v>120</v>
      </c>
      <c r="P16" s="6">
        <v>7080</v>
      </c>
    </row>
    <row r="17" spans="1:16" x14ac:dyDescent="0.25">
      <c r="A17" s="1" t="s">
        <v>61</v>
      </c>
      <c r="B17" s="1" t="s">
        <v>62</v>
      </c>
      <c r="C17" s="1" t="s">
        <v>63</v>
      </c>
      <c r="D17" s="1" t="s">
        <v>64</v>
      </c>
      <c r="E17" s="1">
        <v>4</v>
      </c>
      <c r="F17" s="1" t="s">
        <v>51</v>
      </c>
      <c r="G17" s="1" t="s">
        <v>121</v>
      </c>
      <c r="H17" s="1" t="s">
        <v>122</v>
      </c>
      <c r="I17" s="1" t="s">
        <v>84</v>
      </c>
      <c r="J17" s="2">
        <v>5095</v>
      </c>
      <c r="K17" s="3">
        <v>0.08</v>
      </c>
      <c r="L17" s="2">
        <f>J17*K17</f>
        <v>407.6</v>
      </c>
      <c r="M17" s="1" t="s">
        <v>23</v>
      </c>
      <c r="N17" s="4" t="s">
        <v>123</v>
      </c>
      <c r="O17" s="4" t="s">
        <v>124</v>
      </c>
      <c r="P17" s="6">
        <v>101900</v>
      </c>
    </row>
    <row r="18" spans="1:16" x14ac:dyDescent="0.25">
      <c r="A18" s="1" t="s">
        <v>70</v>
      </c>
      <c r="B18" s="1" t="s">
        <v>71</v>
      </c>
      <c r="C18" s="1" t="s">
        <v>72</v>
      </c>
      <c r="D18" s="1" t="s">
        <v>73</v>
      </c>
      <c r="E18" s="1">
        <v>18</v>
      </c>
      <c r="F18" s="1" t="s">
        <v>67</v>
      </c>
      <c r="G18" s="1" t="s">
        <v>125</v>
      </c>
      <c r="H18" s="1" t="s">
        <v>126</v>
      </c>
      <c r="I18" s="1" t="s">
        <v>20</v>
      </c>
      <c r="J18" s="2">
        <v>1952</v>
      </c>
      <c r="K18" s="3">
        <v>0.09</v>
      </c>
      <c r="L18" s="2">
        <f>J18*K18</f>
        <v>175.68</v>
      </c>
      <c r="M18" s="1" t="s">
        <v>23</v>
      </c>
      <c r="N18" s="4" t="s">
        <v>127</v>
      </c>
      <c r="O18" s="4" t="s">
        <v>128</v>
      </c>
      <c r="P18" s="6">
        <v>195200</v>
      </c>
    </row>
    <row r="19" spans="1:16" x14ac:dyDescent="0.25">
      <c r="A19" s="1" t="s">
        <v>79</v>
      </c>
      <c r="B19" s="1" t="s">
        <v>80</v>
      </c>
      <c r="C19" s="1" t="s">
        <v>81</v>
      </c>
      <c r="D19" s="1" t="s">
        <v>29</v>
      </c>
      <c r="E19" s="1">
        <v>9</v>
      </c>
      <c r="F19" s="1" t="s">
        <v>30</v>
      </c>
      <c r="G19" s="1" t="s">
        <v>129</v>
      </c>
      <c r="H19" s="1" t="s">
        <v>130</v>
      </c>
      <c r="I19" s="1" t="s">
        <v>30</v>
      </c>
      <c r="J19" s="2">
        <v>1327</v>
      </c>
      <c r="K19" s="3">
        <v>0.1</v>
      </c>
      <c r="L19" s="2">
        <f>J19*K19</f>
        <v>132.70000000000002</v>
      </c>
      <c r="M19" s="1" t="s">
        <v>23</v>
      </c>
      <c r="N19" s="4" t="s">
        <v>131</v>
      </c>
      <c r="O19" s="4" t="s">
        <v>132</v>
      </c>
      <c r="P19" s="6">
        <v>26540</v>
      </c>
    </row>
    <row r="20" spans="1:16" x14ac:dyDescent="0.25">
      <c r="A20" s="1" t="s">
        <v>87</v>
      </c>
      <c r="B20" s="1" t="s">
        <v>88</v>
      </c>
      <c r="C20" s="1" t="s">
        <v>89</v>
      </c>
      <c r="D20" s="1" t="s">
        <v>19</v>
      </c>
      <c r="E20" s="1">
        <v>7</v>
      </c>
      <c r="F20" s="1" t="s">
        <v>42</v>
      </c>
      <c r="G20" s="1" t="s">
        <v>133</v>
      </c>
      <c r="H20" s="1" t="s">
        <v>134</v>
      </c>
      <c r="I20" s="1" t="s">
        <v>42</v>
      </c>
      <c r="J20" s="2">
        <v>1014</v>
      </c>
      <c r="K20" s="3">
        <v>0.11</v>
      </c>
      <c r="L20" s="2">
        <f>J20*K20</f>
        <v>111.54</v>
      </c>
      <c r="M20" s="1" t="s">
        <v>23</v>
      </c>
      <c r="N20" s="4" t="s">
        <v>135</v>
      </c>
      <c r="O20" s="4" t="s">
        <v>136</v>
      </c>
      <c r="P20" s="6">
        <v>20280</v>
      </c>
    </row>
    <row r="21" spans="1:16" x14ac:dyDescent="0.25">
      <c r="A21" s="1" t="s">
        <v>94</v>
      </c>
      <c r="B21" s="1" t="s">
        <v>95</v>
      </c>
      <c r="C21" s="1" t="s">
        <v>96</v>
      </c>
      <c r="D21" s="1" t="s">
        <v>38</v>
      </c>
      <c r="E21" s="1">
        <v>11</v>
      </c>
      <c r="F21" s="1" t="s">
        <v>20</v>
      </c>
      <c r="G21" s="1" t="s">
        <v>137</v>
      </c>
      <c r="H21" s="1" t="s">
        <v>138</v>
      </c>
      <c r="I21" s="1" t="s">
        <v>51</v>
      </c>
      <c r="J21" s="2">
        <v>1603</v>
      </c>
      <c r="K21" s="3">
        <v>0.12</v>
      </c>
      <c r="L21" s="2">
        <f>J21*K21</f>
        <v>192.35999999999999</v>
      </c>
      <c r="M21" s="1" t="s">
        <v>23</v>
      </c>
      <c r="N21" s="4" t="s">
        <v>139</v>
      </c>
      <c r="O21" s="4" t="s">
        <v>140</v>
      </c>
      <c r="P21" s="6">
        <v>32060</v>
      </c>
    </row>
    <row r="22" spans="1:16" x14ac:dyDescent="0.25">
      <c r="A22" s="1" t="s">
        <v>16</v>
      </c>
      <c r="B22" s="1" t="s">
        <v>17</v>
      </c>
      <c r="C22" s="1" t="s">
        <v>18</v>
      </c>
      <c r="D22" s="1" t="s">
        <v>19</v>
      </c>
      <c r="E22" s="1">
        <v>12</v>
      </c>
      <c r="F22" s="1" t="s">
        <v>20</v>
      </c>
      <c r="G22" s="1" t="s">
        <v>141</v>
      </c>
      <c r="H22" s="1" t="s">
        <v>142</v>
      </c>
      <c r="I22" s="1" t="s">
        <v>39</v>
      </c>
      <c r="J22" s="2">
        <v>6780</v>
      </c>
      <c r="K22" s="3">
        <v>0.12</v>
      </c>
      <c r="L22" s="2">
        <f>J22*K22</f>
        <v>813.6</v>
      </c>
      <c r="M22" s="1" t="s">
        <v>23</v>
      </c>
      <c r="N22" s="4" t="s">
        <v>143</v>
      </c>
      <c r="O22" s="4" t="s">
        <v>144</v>
      </c>
      <c r="P22" s="6">
        <v>339000</v>
      </c>
    </row>
    <row r="23" spans="1:16" x14ac:dyDescent="0.25">
      <c r="A23" s="1" t="s">
        <v>26</v>
      </c>
      <c r="B23" s="1" t="s">
        <v>27</v>
      </c>
      <c r="C23" s="1" t="s">
        <v>28</v>
      </c>
      <c r="D23" s="1" t="s">
        <v>29</v>
      </c>
      <c r="E23" s="1">
        <v>8</v>
      </c>
      <c r="F23" s="1" t="s">
        <v>30</v>
      </c>
      <c r="G23" s="1" t="s">
        <v>145</v>
      </c>
      <c r="H23" s="1" t="s">
        <v>146</v>
      </c>
      <c r="I23" s="1" t="s">
        <v>67</v>
      </c>
      <c r="J23" s="2">
        <v>4407</v>
      </c>
      <c r="K23" s="3">
        <v>0.13</v>
      </c>
      <c r="L23" s="2">
        <f>J23*K23</f>
        <v>572.91</v>
      </c>
      <c r="M23" s="1" t="s">
        <v>23</v>
      </c>
      <c r="N23" s="4" t="s">
        <v>147</v>
      </c>
      <c r="O23" s="4" t="s">
        <v>148</v>
      </c>
      <c r="P23" s="6">
        <v>220350</v>
      </c>
    </row>
    <row r="24" spans="1:16" x14ac:dyDescent="0.25">
      <c r="A24" s="1" t="s">
        <v>35</v>
      </c>
      <c r="B24" s="1" t="s">
        <v>36</v>
      </c>
      <c r="C24" s="1" t="s">
        <v>37</v>
      </c>
      <c r="D24" s="1" t="s">
        <v>38</v>
      </c>
      <c r="E24" s="1">
        <v>15</v>
      </c>
      <c r="F24" s="1" t="s">
        <v>39</v>
      </c>
      <c r="G24" s="1" t="s">
        <v>149</v>
      </c>
      <c r="H24" s="1" t="s">
        <v>150</v>
      </c>
      <c r="I24" s="1" t="s">
        <v>76</v>
      </c>
      <c r="J24" s="2">
        <v>442</v>
      </c>
      <c r="K24" s="3">
        <v>0.1</v>
      </c>
      <c r="L24" s="2">
        <f>J24*K24</f>
        <v>44.2</v>
      </c>
      <c r="M24" s="1" t="s">
        <v>23</v>
      </c>
      <c r="N24" s="4" t="s">
        <v>151</v>
      </c>
      <c r="O24" s="4" t="s">
        <v>152</v>
      </c>
      <c r="P24" s="6">
        <v>8840</v>
      </c>
    </row>
    <row r="25" spans="1:16" x14ac:dyDescent="0.25">
      <c r="A25" s="1" t="s">
        <v>45</v>
      </c>
      <c r="B25" s="1" t="s">
        <v>46</v>
      </c>
      <c r="C25" s="1" t="s">
        <v>47</v>
      </c>
      <c r="D25" s="1" t="s">
        <v>48</v>
      </c>
      <c r="E25" s="1">
        <v>6</v>
      </c>
      <c r="F25" s="1" t="s">
        <v>42</v>
      </c>
      <c r="G25" s="1" t="s">
        <v>153</v>
      </c>
      <c r="H25" s="1" t="s">
        <v>154</v>
      </c>
      <c r="I25" s="1" t="s">
        <v>84</v>
      </c>
      <c r="J25" s="2">
        <v>5679</v>
      </c>
      <c r="K25" s="3">
        <v>0.11</v>
      </c>
      <c r="L25" s="2">
        <f>J25*K25</f>
        <v>624.69000000000005</v>
      </c>
      <c r="M25" s="1" t="s">
        <v>23</v>
      </c>
      <c r="N25" s="4" t="s">
        <v>155</v>
      </c>
      <c r="O25" s="4" t="s">
        <v>156</v>
      </c>
      <c r="P25" s="6">
        <v>113580</v>
      </c>
    </row>
    <row r="26" spans="1:16" x14ac:dyDescent="0.25">
      <c r="A26" s="1" t="s">
        <v>54</v>
      </c>
      <c r="B26" s="1" t="s">
        <v>55</v>
      </c>
      <c r="C26" s="1" t="s">
        <v>56</v>
      </c>
      <c r="D26" s="1" t="s">
        <v>19</v>
      </c>
      <c r="E26" s="1">
        <v>10</v>
      </c>
      <c r="F26" s="1" t="s">
        <v>20</v>
      </c>
      <c r="G26" s="1" t="s">
        <v>157</v>
      </c>
      <c r="H26" s="1" t="s">
        <v>158</v>
      </c>
      <c r="I26" s="1" t="s">
        <v>20</v>
      </c>
      <c r="J26" s="2">
        <v>2328</v>
      </c>
      <c r="K26" s="3">
        <v>0.12</v>
      </c>
      <c r="L26" s="2">
        <f>J26*K26</f>
        <v>279.36</v>
      </c>
      <c r="M26" s="1" t="s">
        <v>23</v>
      </c>
      <c r="N26" s="4" t="s">
        <v>159</v>
      </c>
      <c r="O26" s="4" t="s">
        <v>160</v>
      </c>
      <c r="P26" s="6">
        <v>232800</v>
      </c>
    </row>
    <row r="27" spans="1:16" x14ac:dyDescent="0.25">
      <c r="A27" s="1" t="s">
        <v>61</v>
      </c>
      <c r="B27" s="1" t="s">
        <v>62</v>
      </c>
      <c r="C27" s="1" t="s">
        <v>63</v>
      </c>
      <c r="D27" s="1" t="s">
        <v>64</v>
      </c>
      <c r="E27" s="1">
        <v>4</v>
      </c>
      <c r="F27" s="1" t="s">
        <v>51</v>
      </c>
      <c r="G27" s="1" t="s">
        <v>161</v>
      </c>
      <c r="H27" s="1" t="s">
        <v>162</v>
      </c>
      <c r="I27" s="1" t="s">
        <v>30</v>
      </c>
      <c r="J27" s="2">
        <v>1575</v>
      </c>
      <c r="K27" s="3">
        <v>0.08</v>
      </c>
      <c r="L27" s="2">
        <f>J27*K27</f>
        <v>126</v>
      </c>
      <c r="M27" s="1" t="s">
        <v>23</v>
      </c>
      <c r="N27" s="4" t="s">
        <v>163</v>
      </c>
      <c r="O27" s="4" t="s">
        <v>164</v>
      </c>
      <c r="P27" s="6">
        <v>31500</v>
      </c>
    </row>
    <row r="28" spans="1:16" x14ac:dyDescent="0.25">
      <c r="A28" s="1" t="s">
        <v>70</v>
      </c>
      <c r="B28" s="1" t="s">
        <v>71</v>
      </c>
      <c r="C28" s="1" t="s">
        <v>72</v>
      </c>
      <c r="D28" s="1" t="s">
        <v>73</v>
      </c>
      <c r="E28" s="1">
        <v>18</v>
      </c>
      <c r="F28" s="1" t="s">
        <v>67</v>
      </c>
      <c r="G28" s="1" t="s">
        <v>165</v>
      </c>
      <c r="H28" s="1" t="s">
        <v>166</v>
      </c>
      <c r="I28" s="1" t="s">
        <v>42</v>
      </c>
      <c r="J28" s="2">
        <v>1198</v>
      </c>
      <c r="K28" s="3">
        <v>0.09</v>
      </c>
      <c r="L28" s="2">
        <f>J28*K28</f>
        <v>107.82</v>
      </c>
      <c r="M28" s="1" t="s">
        <v>23</v>
      </c>
      <c r="N28" s="4" t="s">
        <v>167</v>
      </c>
      <c r="O28" s="4" t="s">
        <v>168</v>
      </c>
      <c r="P28" s="6">
        <v>23960</v>
      </c>
    </row>
    <row r="29" spans="1:16" x14ac:dyDescent="0.25">
      <c r="A29" s="1" t="s">
        <v>79</v>
      </c>
      <c r="B29" s="1" t="s">
        <v>80</v>
      </c>
      <c r="C29" s="1" t="s">
        <v>81</v>
      </c>
      <c r="D29" s="1" t="s">
        <v>29</v>
      </c>
      <c r="E29" s="1">
        <v>9</v>
      </c>
      <c r="F29" s="1" t="s">
        <v>30</v>
      </c>
      <c r="G29" s="1" t="s">
        <v>169</v>
      </c>
      <c r="H29" s="1" t="s">
        <v>170</v>
      </c>
      <c r="I29" s="1" t="s">
        <v>51</v>
      </c>
      <c r="J29" s="2">
        <v>1899</v>
      </c>
      <c r="K29" s="3">
        <v>0.1</v>
      </c>
      <c r="L29" s="2">
        <f>J29*K29</f>
        <v>189.9</v>
      </c>
      <c r="M29" s="1" t="s">
        <v>23</v>
      </c>
      <c r="N29" s="4" t="s">
        <v>171</v>
      </c>
      <c r="O29" s="4" t="s">
        <v>172</v>
      </c>
      <c r="P29" s="6">
        <v>37980</v>
      </c>
    </row>
    <row r="30" spans="1:16" x14ac:dyDescent="0.25">
      <c r="A30" s="1" t="s">
        <v>87</v>
      </c>
      <c r="B30" s="1" t="s">
        <v>88</v>
      </c>
      <c r="C30" s="1" t="s">
        <v>89</v>
      </c>
      <c r="D30" s="1" t="s">
        <v>19</v>
      </c>
      <c r="E30" s="1">
        <v>7</v>
      </c>
      <c r="F30" s="1" t="s">
        <v>42</v>
      </c>
      <c r="G30" s="1" t="s">
        <v>173</v>
      </c>
      <c r="H30" s="1" t="s">
        <v>174</v>
      </c>
      <c r="I30" s="1" t="s">
        <v>39</v>
      </c>
      <c r="J30" s="2">
        <v>7492</v>
      </c>
      <c r="K30" s="3">
        <v>0.15</v>
      </c>
      <c r="L30" s="2">
        <f>J30*K30</f>
        <v>1123.8</v>
      </c>
      <c r="M30" s="1" t="s">
        <v>175</v>
      </c>
      <c r="N30" s="4" t="s">
        <v>176</v>
      </c>
      <c r="O30" s="4" t="s">
        <v>177</v>
      </c>
      <c r="P30" s="6">
        <v>374600</v>
      </c>
    </row>
    <row r="31" spans="1:16" x14ac:dyDescent="0.25">
      <c r="A31" s="1" t="s">
        <v>94</v>
      </c>
      <c r="B31" s="1" t="s">
        <v>95</v>
      </c>
      <c r="C31" s="1" t="s">
        <v>96</v>
      </c>
      <c r="D31" s="1" t="s">
        <v>38</v>
      </c>
      <c r="E31" s="1">
        <v>11</v>
      </c>
      <c r="F31" s="1" t="s">
        <v>20</v>
      </c>
      <c r="G31" s="1" t="s">
        <v>178</v>
      </c>
      <c r="H31" s="1" t="s">
        <v>179</v>
      </c>
      <c r="I31" s="1" t="s">
        <v>67</v>
      </c>
      <c r="J31" s="2">
        <v>4943</v>
      </c>
      <c r="K31" s="3">
        <v>0.16</v>
      </c>
      <c r="L31" s="2">
        <f>J31*K31</f>
        <v>790.88</v>
      </c>
      <c r="M31" s="1" t="s">
        <v>175</v>
      </c>
      <c r="N31" s="4" t="s">
        <v>180</v>
      </c>
      <c r="O31" s="4" t="s">
        <v>181</v>
      </c>
      <c r="P31" s="6">
        <v>247150</v>
      </c>
    </row>
    <row r="32" spans="1:16" x14ac:dyDescent="0.25">
      <c r="A32" s="1" t="s">
        <v>16</v>
      </c>
      <c r="B32" s="1" t="s">
        <v>17</v>
      </c>
      <c r="C32" s="1" t="s">
        <v>18</v>
      </c>
      <c r="D32" s="1" t="s">
        <v>19</v>
      </c>
      <c r="E32" s="1">
        <v>12</v>
      </c>
      <c r="F32" s="1" t="s">
        <v>20</v>
      </c>
      <c r="G32" s="1" t="s">
        <v>182</v>
      </c>
      <c r="H32" s="1" t="s">
        <v>183</v>
      </c>
      <c r="I32" s="1" t="s">
        <v>76</v>
      </c>
      <c r="J32" s="2">
        <v>530</v>
      </c>
      <c r="K32" s="3">
        <v>0.08</v>
      </c>
      <c r="L32" s="2">
        <f>J32*K32</f>
        <v>42.4</v>
      </c>
      <c r="M32" s="1" t="s">
        <v>175</v>
      </c>
      <c r="N32" s="4" t="s">
        <v>184</v>
      </c>
      <c r="O32" s="4" t="s">
        <v>185</v>
      </c>
      <c r="P32" s="6">
        <v>10600</v>
      </c>
    </row>
    <row r="33" spans="1:16" x14ac:dyDescent="0.25">
      <c r="A33" s="1" t="s">
        <v>26</v>
      </c>
      <c r="B33" s="1" t="s">
        <v>27</v>
      </c>
      <c r="C33" s="1" t="s">
        <v>28</v>
      </c>
      <c r="D33" s="1" t="s">
        <v>29</v>
      </c>
      <c r="E33" s="1">
        <v>8</v>
      </c>
      <c r="F33" s="1" t="s">
        <v>30</v>
      </c>
      <c r="G33" s="1" t="s">
        <v>186</v>
      </c>
      <c r="H33" s="1" t="s">
        <v>187</v>
      </c>
      <c r="I33" s="1" t="s">
        <v>84</v>
      </c>
      <c r="J33" s="2">
        <v>6263</v>
      </c>
      <c r="K33" s="3">
        <v>0.09</v>
      </c>
      <c r="L33" s="2">
        <f>J33*K33</f>
        <v>563.66999999999996</v>
      </c>
      <c r="M33" s="1" t="s">
        <v>175</v>
      </c>
      <c r="N33" s="4" t="s">
        <v>188</v>
      </c>
      <c r="O33" s="4" t="s">
        <v>189</v>
      </c>
      <c r="P33" s="6">
        <v>125260</v>
      </c>
    </row>
    <row r="34" spans="1:16" x14ac:dyDescent="0.25">
      <c r="A34" s="1" t="s">
        <v>35</v>
      </c>
      <c r="B34" s="1" t="s">
        <v>36</v>
      </c>
      <c r="C34" s="1" t="s">
        <v>37</v>
      </c>
      <c r="D34" s="1" t="s">
        <v>38</v>
      </c>
      <c r="E34" s="1">
        <v>15</v>
      </c>
      <c r="F34" s="1" t="s">
        <v>39</v>
      </c>
      <c r="G34" s="1" t="s">
        <v>190</v>
      </c>
      <c r="H34" s="1" t="s">
        <v>191</v>
      </c>
      <c r="I34" s="1" t="s">
        <v>20</v>
      </c>
      <c r="J34" s="2">
        <v>2704</v>
      </c>
      <c r="K34" s="3">
        <v>0.1</v>
      </c>
      <c r="L34" s="2">
        <f>J34*K34</f>
        <v>270.40000000000003</v>
      </c>
      <c r="M34" s="1" t="s">
        <v>175</v>
      </c>
      <c r="N34" s="4" t="s">
        <v>192</v>
      </c>
      <c r="O34" s="4" t="s">
        <v>193</v>
      </c>
      <c r="P34" s="6">
        <v>270400</v>
      </c>
    </row>
    <row r="35" spans="1:16" x14ac:dyDescent="0.25">
      <c r="A35" s="1" t="s">
        <v>45</v>
      </c>
      <c r="B35" s="1" t="s">
        <v>46</v>
      </c>
      <c r="C35" s="1" t="s">
        <v>47</v>
      </c>
      <c r="D35" s="1" t="s">
        <v>48</v>
      </c>
      <c r="E35" s="1">
        <v>6</v>
      </c>
      <c r="F35" s="1" t="s">
        <v>42</v>
      </c>
      <c r="G35" s="1" t="s">
        <v>194</v>
      </c>
      <c r="H35" s="1" t="s">
        <v>195</v>
      </c>
      <c r="I35" s="1" t="s">
        <v>30</v>
      </c>
      <c r="J35" s="2">
        <v>1823</v>
      </c>
      <c r="K35" s="3">
        <v>0.11</v>
      </c>
      <c r="L35" s="2">
        <f>J35*K35</f>
        <v>200.53</v>
      </c>
      <c r="M35" s="1" t="s">
        <v>175</v>
      </c>
      <c r="N35" s="4" t="s">
        <v>196</v>
      </c>
      <c r="O35" s="4" t="s">
        <v>197</v>
      </c>
      <c r="P35" s="6">
        <v>36460</v>
      </c>
    </row>
    <row r="36" spans="1:16" x14ac:dyDescent="0.25">
      <c r="A36" s="1" t="s">
        <v>54</v>
      </c>
      <c r="B36" s="1" t="s">
        <v>55</v>
      </c>
      <c r="C36" s="1" t="s">
        <v>56</v>
      </c>
      <c r="D36" s="1" t="s">
        <v>19</v>
      </c>
      <c r="E36" s="1">
        <v>10</v>
      </c>
      <c r="F36" s="1" t="s">
        <v>20</v>
      </c>
      <c r="G36" s="1" t="s">
        <v>198</v>
      </c>
      <c r="H36" s="1" t="s">
        <v>199</v>
      </c>
      <c r="I36" s="1" t="s">
        <v>42</v>
      </c>
      <c r="J36" s="2">
        <v>1382</v>
      </c>
      <c r="K36" s="3">
        <v>0.12</v>
      </c>
      <c r="L36" s="2">
        <f>J36*K36</f>
        <v>165.84</v>
      </c>
      <c r="M36" s="1" t="s">
        <v>175</v>
      </c>
      <c r="N36" s="4" t="s">
        <v>200</v>
      </c>
      <c r="O36" s="4" t="s">
        <v>201</v>
      </c>
      <c r="P36" s="6">
        <v>27640</v>
      </c>
    </row>
    <row r="37" spans="1:16" x14ac:dyDescent="0.25">
      <c r="A37" s="1" t="s">
        <v>61</v>
      </c>
      <c r="B37" s="1" t="s">
        <v>62</v>
      </c>
      <c r="C37" s="1" t="s">
        <v>63</v>
      </c>
      <c r="D37" s="1" t="s">
        <v>64</v>
      </c>
      <c r="E37" s="1">
        <v>4</v>
      </c>
      <c r="F37" s="1" t="s">
        <v>51</v>
      </c>
      <c r="G37" s="1" t="s">
        <v>202</v>
      </c>
      <c r="H37" s="1" t="s">
        <v>22</v>
      </c>
      <c r="I37" s="1" t="s">
        <v>51</v>
      </c>
      <c r="J37" s="2">
        <v>995</v>
      </c>
      <c r="K37" s="3">
        <v>0.08</v>
      </c>
      <c r="L37" s="2">
        <f>J37*K37</f>
        <v>79.600000000000009</v>
      </c>
      <c r="M37" s="1" t="s">
        <v>175</v>
      </c>
      <c r="N37" s="4" t="s">
        <v>203</v>
      </c>
      <c r="O37" s="4" t="s">
        <v>204</v>
      </c>
      <c r="P37" s="6">
        <v>19900</v>
      </c>
    </row>
    <row r="38" spans="1:16" x14ac:dyDescent="0.25">
      <c r="A38" s="1" t="s">
        <v>70</v>
      </c>
      <c r="B38" s="1" t="s">
        <v>71</v>
      </c>
      <c r="C38" s="1" t="s">
        <v>72</v>
      </c>
      <c r="D38" s="1" t="s">
        <v>73</v>
      </c>
      <c r="E38" s="1">
        <v>18</v>
      </c>
      <c r="F38" s="1" t="s">
        <v>67</v>
      </c>
      <c r="G38" s="1" t="s">
        <v>205</v>
      </c>
      <c r="H38" s="1" t="s">
        <v>32</v>
      </c>
      <c r="I38" s="1" t="s">
        <v>39</v>
      </c>
      <c r="J38" s="2">
        <v>8204</v>
      </c>
      <c r="K38" s="3">
        <v>0.13</v>
      </c>
      <c r="L38" s="2">
        <f>J38*K38</f>
        <v>1066.52</v>
      </c>
      <c r="M38" s="1" t="s">
        <v>175</v>
      </c>
      <c r="N38" s="4" t="s">
        <v>206</v>
      </c>
      <c r="O38" s="4" t="s">
        <v>207</v>
      </c>
      <c r="P38" s="6">
        <v>410200</v>
      </c>
    </row>
    <row r="39" spans="1:16" x14ac:dyDescent="0.25">
      <c r="A39" s="1" t="s">
        <v>79</v>
      </c>
      <c r="B39" s="1" t="s">
        <v>80</v>
      </c>
      <c r="C39" s="1" t="s">
        <v>81</v>
      </c>
      <c r="D39" s="1" t="s">
        <v>29</v>
      </c>
      <c r="E39" s="1">
        <v>9</v>
      </c>
      <c r="F39" s="1" t="s">
        <v>30</v>
      </c>
      <c r="G39" s="1" t="s">
        <v>208</v>
      </c>
      <c r="H39" s="1" t="s">
        <v>41</v>
      </c>
      <c r="I39" s="1" t="s">
        <v>67</v>
      </c>
      <c r="J39" s="2">
        <v>5479</v>
      </c>
      <c r="K39" s="3">
        <v>0.13999999999999999</v>
      </c>
      <c r="L39" s="2">
        <f>J39*K39</f>
        <v>767.06</v>
      </c>
      <c r="M39" s="1" t="s">
        <v>175</v>
      </c>
      <c r="N39" s="4" t="s">
        <v>209</v>
      </c>
      <c r="O39" s="4" t="s">
        <v>210</v>
      </c>
      <c r="P39" s="6">
        <v>273950</v>
      </c>
    </row>
    <row r="40" spans="1:16" x14ac:dyDescent="0.25">
      <c r="A40" s="1" t="s">
        <v>87</v>
      </c>
      <c r="B40" s="1" t="s">
        <v>88</v>
      </c>
      <c r="C40" s="1" t="s">
        <v>89</v>
      </c>
      <c r="D40" s="1" t="s">
        <v>19</v>
      </c>
      <c r="E40" s="1">
        <v>7</v>
      </c>
      <c r="F40" s="1" t="s">
        <v>42</v>
      </c>
      <c r="G40" s="1" t="s">
        <v>211</v>
      </c>
      <c r="H40" s="1" t="s">
        <v>50</v>
      </c>
      <c r="I40" s="1" t="s">
        <v>76</v>
      </c>
      <c r="J40" s="2">
        <v>618</v>
      </c>
      <c r="K40" s="3">
        <v>0.11</v>
      </c>
      <c r="L40" s="2">
        <f>J40*K40</f>
        <v>67.98</v>
      </c>
      <c r="M40" s="1" t="s">
        <v>175</v>
      </c>
      <c r="N40" s="4" t="s">
        <v>212</v>
      </c>
      <c r="O40" s="4" t="s">
        <v>213</v>
      </c>
      <c r="P40" s="6">
        <v>12360</v>
      </c>
    </row>
    <row r="41" spans="1:16" x14ac:dyDescent="0.25">
      <c r="A41" s="1" t="s">
        <v>94</v>
      </c>
      <c r="B41" s="1" t="s">
        <v>95</v>
      </c>
      <c r="C41" s="1" t="s">
        <v>96</v>
      </c>
      <c r="D41" s="1" t="s">
        <v>38</v>
      </c>
      <c r="E41" s="1">
        <v>11</v>
      </c>
      <c r="F41" s="1" t="s">
        <v>20</v>
      </c>
      <c r="G41" s="1" t="s">
        <v>214</v>
      </c>
      <c r="H41" s="1" t="s">
        <v>58</v>
      </c>
      <c r="I41" s="1" t="s">
        <v>84</v>
      </c>
      <c r="J41" s="2">
        <v>6847</v>
      </c>
      <c r="K41" s="3">
        <v>0.12</v>
      </c>
      <c r="L41" s="2">
        <f>J41*K41</f>
        <v>821.64</v>
      </c>
      <c r="M41" s="1" t="s">
        <v>175</v>
      </c>
      <c r="N41" s="4" t="s">
        <v>215</v>
      </c>
      <c r="O41" s="4" t="s">
        <v>216</v>
      </c>
      <c r="P41" s="6">
        <v>136940</v>
      </c>
    </row>
    <row r="42" spans="1:16" x14ac:dyDescent="0.25">
      <c r="A42" s="1" t="s">
        <v>16</v>
      </c>
      <c r="B42" s="1" t="s">
        <v>17</v>
      </c>
      <c r="C42" s="1" t="s">
        <v>18</v>
      </c>
      <c r="D42" s="1" t="s">
        <v>19</v>
      </c>
      <c r="E42" s="1">
        <v>12</v>
      </c>
      <c r="F42" s="1" t="s">
        <v>20</v>
      </c>
      <c r="G42" s="1" t="s">
        <v>217</v>
      </c>
      <c r="H42" s="1" t="s">
        <v>66</v>
      </c>
      <c r="I42" s="1" t="s">
        <v>20</v>
      </c>
      <c r="J42" s="2">
        <v>3080</v>
      </c>
      <c r="K42" s="3">
        <v>0.08</v>
      </c>
      <c r="L42" s="2">
        <f>J42*K42</f>
        <v>246.4</v>
      </c>
      <c r="M42" s="1" t="s">
        <v>175</v>
      </c>
      <c r="N42" s="4" t="s">
        <v>218</v>
      </c>
      <c r="O42" s="4" t="s">
        <v>219</v>
      </c>
      <c r="P42" s="6">
        <v>308000</v>
      </c>
    </row>
    <row r="43" spans="1:16" x14ac:dyDescent="0.25">
      <c r="A43" s="1" t="s">
        <v>26</v>
      </c>
      <c r="B43" s="1" t="s">
        <v>27</v>
      </c>
      <c r="C43" s="1" t="s">
        <v>28</v>
      </c>
      <c r="D43" s="1" t="s">
        <v>29</v>
      </c>
      <c r="E43" s="1">
        <v>8</v>
      </c>
      <c r="F43" s="1" t="s">
        <v>30</v>
      </c>
      <c r="G43" s="1" t="s">
        <v>220</v>
      </c>
      <c r="H43" s="1" t="s">
        <v>75</v>
      </c>
      <c r="I43" s="1" t="s">
        <v>30</v>
      </c>
      <c r="J43" s="2">
        <v>2071</v>
      </c>
      <c r="K43" s="3">
        <v>0.09</v>
      </c>
      <c r="L43" s="2">
        <f>J43*K43</f>
        <v>186.39</v>
      </c>
      <c r="M43" s="1" t="s">
        <v>175</v>
      </c>
      <c r="N43" s="4" t="s">
        <v>221</v>
      </c>
      <c r="O43" s="4" t="s">
        <v>222</v>
      </c>
      <c r="P43" s="6">
        <v>41420</v>
      </c>
    </row>
    <row r="44" spans="1:16" x14ac:dyDescent="0.25">
      <c r="A44" s="1" t="s">
        <v>35</v>
      </c>
      <c r="B44" s="1" t="s">
        <v>36</v>
      </c>
      <c r="C44" s="1" t="s">
        <v>37</v>
      </c>
      <c r="D44" s="1" t="s">
        <v>38</v>
      </c>
      <c r="E44" s="1">
        <v>15</v>
      </c>
      <c r="F44" s="1" t="s">
        <v>39</v>
      </c>
      <c r="G44" s="1" t="s">
        <v>223</v>
      </c>
      <c r="H44" s="1" t="s">
        <v>83</v>
      </c>
      <c r="I44" s="1" t="s">
        <v>42</v>
      </c>
      <c r="J44" s="2">
        <v>766</v>
      </c>
      <c r="K44" s="3">
        <v>0.1</v>
      </c>
      <c r="L44" s="2">
        <f>J44*K44</f>
        <v>76.600000000000009</v>
      </c>
      <c r="M44" s="1" t="s">
        <v>224</v>
      </c>
      <c r="N44" s="4" t="s">
        <v>225</v>
      </c>
      <c r="O44" s="4" t="s">
        <v>226</v>
      </c>
      <c r="P44" s="6">
        <v>15320</v>
      </c>
    </row>
    <row r="45" spans="1:16" x14ac:dyDescent="0.25">
      <c r="A45" s="1" t="s">
        <v>45</v>
      </c>
      <c r="B45" s="1" t="s">
        <v>46</v>
      </c>
      <c r="C45" s="1" t="s">
        <v>47</v>
      </c>
      <c r="D45" s="1" t="s">
        <v>48</v>
      </c>
      <c r="E45" s="1">
        <v>6</v>
      </c>
      <c r="F45" s="1" t="s">
        <v>42</v>
      </c>
      <c r="G45" s="1" t="s">
        <v>227</v>
      </c>
      <c r="H45" s="1" t="s">
        <v>91</v>
      </c>
      <c r="I45" s="1" t="s">
        <v>51</v>
      </c>
      <c r="J45" s="2">
        <v>1291</v>
      </c>
      <c r="K45" s="3">
        <v>0.11</v>
      </c>
      <c r="L45" s="2">
        <f>J45*K45</f>
        <v>142.01</v>
      </c>
      <c r="M45" s="1" t="s">
        <v>224</v>
      </c>
      <c r="N45" s="4" t="s">
        <v>228</v>
      </c>
      <c r="O45" s="4" t="s">
        <v>229</v>
      </c>
      <c r="P45" s="6">
        <v>25820</v>
      </c>
    </row>
    <row r="46" spans="1:16" x14ac:dyDescent="0.25">
      <c r="A46" s="1" t="s">
        <v>54</v>
      </c>
      <c r="B46" s="1" t="s">
        <v>55</v>
      </c>
      <c r="C46" s="1" t="s">
        <v>56</v>
      </c>
      <c r="D46" s="1" t="s">
        <v>19</v>
      </c>
      <c r="E46" s="1">
        <v>10</v>
      </c>
      <c r="F46" s="1" t="s">
        <v>20</v>
      </c>
      <c r="G46" s="1" t="s">
        <v>230</v>
      </c>
      <c r="H46" s="1" t="s">
        <v>98</v>
      </c>
      <c r="I46" s="1" t="s">
        <v>39</v>
      </c>
      <c r="J46" s="2">
        <v>8916</v>
      </c>
      <c r="K46" s="3">
        <v>0.16</v>
      </c>
      <c r="L46" s="2">
        <f>J46*K46</f>
        <v>1426.56</v>
      </c>
      <c r="M46" s="1" t="s">
        <v>224</v>
      </c>
      <c r="N46" s="4" t="s">
        <v>231</v>
      </c>
      <c r="O46" s="4" t="s">
        <v>232</v>
      </c>
      <c r="P46" s="6">
        <v>445800</v>
      </c>
    </row>
    <row r="47" spans="1:16" x14ac:dyDescent="0.25">
      <c r="A47" s="1" t="s">
        <v>61</v>
      </c>
      <c r="B47" s="1" t="s">
        <v>62</v>
      </c>
      <c r="C47" s="1" t="s">
        <v>63</v>
      </c>
      <c r="D47" s="1" t="s">
        <v>64</v>
      </c>
      <c r="E47" s="1">
        <v>4</v>
      </c>
      <c r="F47" s="1" t="s">
        <v>51</v>
      </c>
      <c r="G47" s="1" t="s">
        <v>233</v>
      </c>
      <c r="H47" s="1" t="s">
        <v>102</v>
      </c>
      <c r="I47" s="1" t="s">
        <v>67</v>
      </c>
      <c r="J47" s="2">
        <v>6015</v>
      </c>
      <c r="K47" s="3">
        <v>0.12</v>
      </c>
      <c r="L47" s="2">
        <f>J47*K47</f>
        <v>721.8</v>
      </c>
      <c r="M47" s="1" t="s">
        <v>224</v>
      </c>
      <c r="N47" s="4" t="s">
        <v>234</v>
      </c>
      <c r="O47" s="4" t="s">
        <v>235</v>
      </c>
      <c r="P47" s="6">
        <v>300750</v>
      </c>
    </row>
    <row r="48" spans="1:16" x14ac:dyDescent="0.25">
      <c r="A48" s="1" t="s">
        <v>70</v>
      </c>
      <c r="B48" s="1" t="s">
        <v>71</v>
      </c>
      <c r="C48" s="1" t="s">
        <v>72</v>
      </c>
      <c r="D48" s="1" t="s">
        <v>73</v>
      </c>
      <c r="E48" s="1">
        <v>18</v>
      </c>
      <c r="F48" s="1" t="s">
        <v>67</v>
      </c>
      <c r="G48" s="1" t="s">
        <v>236</v>
      </c>
      <c r="H48" s="1" t="s">
        <v>106</v>
      </c>
      <c r="I48" s="1" t="s">
        <v>76</v>
      </c>
      <c r="J48" s="2">
        <v>206</v>
      </c>
      <c r="K48" s="3">
        <v>0.09</v>
      </c>
      <c r="L48" s="2">
        <f>J48*K48</f>
        <v>18.54</v>
      </c>
      <c r="M48" s="1" t="s">
        <v>224</v>
      </c>
      <c r="N48" s="4" t="s">
        <v>237</v>
      </c>
      <c r="O48" s="4" t="s">
        <v>238</v>
      </c>
      <c r="P48" s="6">
        <v>4120</v>
      </c>
    </row>
    <row r="49" spans="1:16" x14ac:dyDescent="0.25">
      <c r="A49" s="1" t="s">
        <v>79</v>
      </c>
      <c r="B49" s="1" t="s">
        <v>80</v>
      </c>
      <c r="C49" s="1" t="s">
        <v>81</v>
      </c>
      <c r="D49" s="1" t="s">
        <v>29</v>
      </c>
      <c r="E49" s="1">
        <v>9</v>
      </c>
      <c r="F49" s="1" t="s">
        <v>30</v>
      </c>
      <c r="G49" s="1" t="s">
        <v>239</v>
      </c>
      <c r="H49" s="1" t="s">
        <v>110</v>
      </c>
      <c r="I49" s="1" t="s">
        <v>84</v>
      </c>
      <c r="J49" s="2">
        <v>7431</v>
      </c>
      <c r="K49" s="3">
        <v>0.1</v>
      </c>
      <c r="L49" s="2">
        <f>J49*K49</f>
        <v>743.1</v>
      </c>
      <c r="M49" s="1" t="s">
        <v>224</v>
      </c>
      <c r="N49" s="4" t="s">
        <v>240</v>
      </c>
      <c r="O49" s="4" t="s">
        <v>241</v>
      </c>
      <c r="P49" s="6">
        <v>148620</v>
      </c>
    </row>
    <row r="50" spans="1:16" x14ac:dyDescent="0.25">
      <c r="A50" s="1" t="s">
        <v>87</v>
      </c>
      <c r="B50" s="1" t="s">
        <v>88</v>
      </c>
      <c r="C50" s="1" t="s">
        <v>89</v>
      </c>
      <c r="D50" s="1" t="s">
        <v>19</v>
      </c>
      <c r="E50" s="1">
        <v>7</v>
      </c>
      <c r="F50" s="1" t="s">
        <v>42</v>
      </c>
      <c r="G50" s="1" t="s">
        <v>242</v>
      </c>
      <c r="H50" s="1" t="s">
        <v>114</v>
      </c>
      <c r="I50" s="1" t="s">
        <v>20</v>
      </c>
      <c r="J50" s="2">
        <v>1456</v>
      </c>
      <c r="K50" s="3">
        <v>0.11</v>
      </c>
      <c r="L50" s="2">
        <f>J50*K50</f>
        <v>160.16</v>
      </c>
      <c r="M50" s="1" t="s">
        <v>224</v>
      </c>
      <c r="N50" s="4" t="s">
        <v>243</v>
      </c>
      <c r="O50" s="4" t="s">
        <v>244</v>
      </c>
      <c r="P50" s="6">
        <v>145600</v>
      </c>
    </row>
    <row r="51" spans="1:16" x14ac:dyDescent="0.25">
      <c r="A51" s="1" t="s">
        <v>94</v>
      </c>
      <c r="B51" s="1" t="s">
        <v>95</v>
      </c>
      <c r="C51" s="1" t="s">
        <v>96</v>
      </c>
      <c r="D51" s="1" t="s">
        <v>38</v>
      </c>
      <c r="E51" s="1">
        <v>11</v>
      </c>
      <c r="F51" s="1" t="s">
        <v>20</v>
      </c>
      <c r="G51" s="1" t="s">
        <v>245</v>
      </c>
      <c r="H51" s="1" t="s">
        <v>118</v>
      </c>
      <c r="I51" s="1" t="s">
        <v>30</v>
      </c>
      <c r="J51" s="2">
        <v>819</v>
      </c>
      <c r="K51" s="3">
        <v>0.12</v>
      </c>
      <c r="L51" s="2">
        <f>J51*K51</f>
        <v>98.28</v>
      </c>
      <c r="M51" s="1" t="s">
        <v>246</v>
      </c>
      <c r="N51" s="4" t="s">
        <v>247</v>
      </c>
      <c r="O51" s="4" t="s">
        <v>248</v>
      </c>
      <c r="P51" s="6">
        <v>16380</v>
      </c>
    </row>
    <row r="52" spans="1:16" x14ac:dyDescent="0.25">
      <c r="A52" s="1" t="s">
        <v>16</v>
      </c>
      <c r="B52" s="1" t="s">
        <v>17</v>
      </c>
      <c r="C52" s="1" t="s">
        <v>18</v>
      </c>
      <c r="D52" s="1" t="s">
        <v>19</v>
      </c>
      <c r="E52" s="1">
        <v>12</v>
      </c>
      <c r="F52" s="1" t="s">
        <v>20</v>
      </c>
      <c r="G52" s="1" t="s">
        <v>249</v>
      </c>
      <c r="H52" s="1" t="s">
        <v>122</v>
      </c>
      <c r="I52" s="1" t="s">
        <v>42</v>
      </c>
      <c r="J52" s="2">
        <v>950</v>
      </c>
      <c r="K52" s="3">
        <v>0.08</v>
      </c>
      <c r="L52" s="2">
        <f>J52*K52</f>
        <v>76</v>
      </c>
      <c r="M52" s="1" t="s">
        <v>246</v>
      </c>
      <c r="N52" s="4" t="s">
        <v>250</v>
      </c>
      <c r="O52" s="4" t="s">
        <v>251</v>
      </c>
      <c r="P52" s="6">
        <v>19000</v>
      </c>
    </row>
    <row r="53" spans="1:16" x14ac:dyDescent="0.25">
      <c r="A53" s="1" t="s">
        <v>26</v>
      </c>
      <c r="B53" s="1" t="s">
        <v>27</v>
      </c>
      <c r="C53" s="1" t="s">
        <v>28</v>
      </c>
      <c r="D53" s="1" t="s">
        <v>29</v>
      </c>
      <c r="E53" s="1">
        <v>8</v>
      </c>
      <c r="F53" s="1" t="s">
        <v>30</v>
      </c>
      <c r="G53" s="1" t="s">
        <v>252</v>
      </c>
      <c r="H53" s="1" t="s">
        <v>126</v>
      </c>
      <c r="I53" s="1" t="s">
        <v>51</v>
      </c>
      <c r="J53" s="2">
        <v>1587</v>
      </c>
      <c r="K53" s="3">
        <v>0.09</v>
      </c>
      <c r="L53" s="2">
        <f>J53*K53</f>
        <v>142.82999999999998</v>
      </c>
      <c r="M53" s="1" t="s">
        <v>246</v>
      </c>
      <c r="N53" s="4" t="s">
        <v>253</v>
      </c>
      <c r="O53" s="4" t="s">
        <v>254</v>
      </c>
      <c r="P53" s="6">
        <v>31740</v>
      </c>
    </row>
    <row r="54" spans="1:16" x14ac:dyDescent="0.25">
      <c r="A54" s="1" t="s">
        <v>35</v>
      </c>
      <c r="B54" s="1" t="s">
        <v>36</v>
      </c>
      <c r="C54" s="1" t="s">
        <v>37</v>
      </c>
      <c r="D54" s="1" t="s">
        <v>38</v>
      </c>
      <c r="E54" s="1">
        <v>15</v>
      </c>
      <c r="F54" s="1" t="s">
        <v>39</v>
      </c>
      <c r="G54" s="1" t="s">
        <v>255</v>
      </c>
      <c r="H54" s="1" t="s">
        <v>130</v>
      </c>
      <c r="I54" s="1" t="s">
        <v>39</v>
      </c>
      <c r="J54" s="2">
        <v>9628</v>
      </c>
      <c r="K54" s="3">
        <v>0.13999999999999999</v>
      </c>
      <c r="L54" s="2">
        <f>J54*K54</f>
        <v>1347.9199999999998</v>
      </c>
      <c r="M54" s="1" t="s">
        <v>246</v>
      </c>
      <c r="N54" s="4" t="s">
        <v>256</v>
      </c>
      <c r="O54" s="4" t="s">
        <v>257</v>
      </c>
      <c r="P54" s="6">
        <v>481400</v>
      </c>
    </row>
    <row r="55" spans="1:16" x14ac:dyDescent="0.25">
      <c r="A55" s="1" t="s">
        <v>45</v>
      </c>
      <c r="B55" s="1" t="s">
        <v>46</v>
      </c>
      <c r="C55" s="1" t="s">
        <v>47</v>
      </c>
      <c r="D55" s="1" t="s">
        <v>48</v>
      </c>
      <c r="E55" s="1">
        <v>6</v>
      </c>
      <c r="F55" s="1" t="s">
        <v>42</v>
      </c>
      <c r="G55" s="1" t="s">
        <v>258</v>
      </c>
      <c r="H55" s="1" t="s">
        <v>134</v>
      </c>
      <c r="I55" s="1" t="s">
        <v>67</v>
      </c>
      <c r="J55" s="2">
        <v>6551</v>
      </c>
      <c r="K55" s="3">
        <v>0.15</v>
      </c>
      <c r="L55" s="2">
        <f>J55*K55</f>
        <v>982.65</v>
      </c>
      <c r="M55" s="1" t="s">
        <v>246</v>
      </c>
      <c r="N55" s="4" t="s">
        <v>259</v>
      </c>
      <c r="O55" s="4" t="s">
        <v>260</v>
      </c>
      <c r="P55" s="6">
        <v>327550</v>
      </c>
    </row>
    <row r="56" spans="1:16" x14ac:dyDescent="0.25">
      <c r="A56" s="1" t="s">
        <v>54</v>
      </c>
      <c r="B56" s="1" t="s">
        <v>55</v>
      </c>
      <c r="C56" s="1" t="s">
        <v>56</v>
      </c>
      <c r="D56" s="1" t="s">
        <v>19</v>
      </c>
      <c r="E56" s="1">
        <v>10</v>
      </c>
      <c r="F56" s="1" t="s">
        <v>20</v>
      </c>
      <c r="G56" s="1" t="s">
        <v>261</v>
      </c>
      <c r="H56" s="1" t="s">
        <v>138</v>
      </c>
      <c r="I56" s="1" t="s">
        <v>76</v>
      </c>
      <c r="J56" s="2">
        <v>294</v>
      </c>
      <c r="K56" s="3">
        <v>0.12</v>
      </c>
      <c r="L56" s="2">
        <f>J56*K56</f>
        <v>35.28</v>
      </c>
      <c r="M56" s="1" t="s">
        <v>246</v>
      </c>
      <c r="N56" s="4" t="s">
        <v>262</v>
      </c>
      <c r="O56" s="4" t="s">
        <v>263</v>
      </c>
      <c r="P56" s="6">
        <v>5880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O'Shea</dc:creator>
  <cp:lastModifiedBy>Brian O'Shea</cp:lastModifiedBy>
  <dcterms:created xsi:type="dcterms:W3CDTF">2026-04-21T11:47:36Z</dcterms:created>
  <dcterms:modified xsi:type="dcterms:W3CDTF">2026-04-21T11:49:54Z</dcterms:modified>
</cp:coreProperties>
</file>